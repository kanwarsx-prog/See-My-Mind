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5ffb8ee96bc8ce8/Documents/00. Business/01 See My Mind/"/>
    </mc:Choice>
  </mc:AlternateContent>
  <xr:revisionPtr revIDLastSave="1" documentId="11_D57EE1E563EBCACFE04D1F5F6619274D2B2D74EE" xr6:coauthVersionLast="47" xr6:coauthVersionMax="47" xr10:uidLastSave="{7E5EE510-72C3-470A-974D-545302748047}"/>
  <bookViews>
    <workbookView xWindow="-93" yWindow="-93" windowWidth="25786" windowHeight="13866" activeTab="1" xr2:uid="{00000000-000D-0000-FFFF-FFFF00000000}"/>
  </bookViews>
  <sheets>
    <sheet name="Summary" sheetId="1" r:id="rId1"/>
    <sheet name="User Stories" sheetId="2" r:id="rId2"/>
    <sheet name="Actors" sheetId="3" r:id="rId3"/>
    <sheet name="Epics" sheetId="4" r:id="rId4"/>
    <sheet name="MoSCoW" sheetId="5" r:id="rId5"/>
    <sheet name="Traceability" sheetId="6" r:id="rId6"/>
    <sheet name="Reference Lis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E8" i="1"/>
  <c r="B8" i="1"/>
  <c r="E7" i="1"/>
  <c r="B7" i="1"/>
  <c r="E6" i="1"/>
  <c r="B6" i="1"/>
  <c r="E5" i="1"/>
  <c r="B5" i="1"/>
</calcChain>
</file>

<file path=xl/sharedStrings.xml><?xml version="1.0" encoding="utf-8"?>
<sst xmlns="http://schemas.openxmlformats.org/spreadsheetml/2006/main" count="8244" uniqueCount="3477">
  <si>
    <t>See My Mind — Comprehensive User Story Backlog</t>
  </si>
  <si>
    <t>Scope basis: current technical blueprint, logical data model, original architecture/backlog, reference UI and current design direction. MoSCoW is prioritised against the first credible school pilot unless otherwise stated.</t>
  </si>
  <si>
    <t>Backlog KPI</t>
  </si>
  <si>
    <t>Count</t>
  </si>
  <si>
    <t>Priority</t>
  </si>
  <si>
    <t>Interpretation</t>
  </si>
  <si>
    <t>Delivery</t>
  </si>
  <si>
    <t>Total stories</t>
  </si>
  <si>
    <t>Must</t>
  </si>
  <si>
    <t>Essential / release gate</t>
  </si>
  <si>
    <t>First real pilot</t>
  </si>
  <si>
    <t>Should</t>
  </si>
  <si>
    <t>Important / limited deferral</t>
  </si>
  <si>
    <t>Pilot or immediately after</t>
  </si>
  <si>
    <t>Could</t>
  </si>
  <si>
    <t>Value enhancement</t>
  </si>
  <si>
    <t>Phase 2 candidate</t>
  </si>
  <si>
    <t>Don't</t>
  </si>
  <si>
    <t>Out of core scope</t>
  </si>
  <si>
    <t>Future / intentionally excluded</t>
  </si>
  <si>
    <t>MVP-phase stories</t>
  </si>
  <si>
    <t>How to use this workbook</t>
  </si>
  <si>
    <t>Use 'User Stories' as the master backlog. Filter by Epic, Actor, MoSCoW, Build Phase, Story Type or Channel. 'Actors' defines personas/roles; 'Epics' gives scope counts; 'MoSCoW' defines the prioritisation convention; 'Traceability' records the source artefacts. Privacy, entitlement, tenant scope, dependencies and audit/reporting columns are intentionally included so requirements can be estimated and designed without losing governance context.</t>
  </si>
  <si>
    <t>Story ID</t>
  </si>
  <si>
    <t>Epic ID</t>
  </si>
  <si>
    <t>Epic / Capability</t>
  </si>
  <si>
    <t>Feature / Process</t>
  </si>
  <si>
    <t>Actor</t>
  </si>
  <si>
    <t>Persona Group</t>
  </si>
  <si>
    <t>Channel</t>
  </si>
  <si>
    <t>User Story</t>
  </si>
  <si>
    <t>Requirement</t>
  </si>
  <si>
    <t>Outcome / Value</t>
  </si>
  <si>
    <t>Acceptance Intent</t>
  </si>
  <si>
    <t>MoSCoW</t>
  </si>
  <si>
    <t>Release Horizon</t>
  </si>
  <si>
    <t>Build Phase</t>
  </si>
  <si>
    <t>Data Objects</t>
  </si>
  <si>
    <t>Workflow / Trigger</t>
  </si>
  <si>
    <t>Privacy / Data Classification</t>
  </si>
  <si>
    <t>Security / Entitlement</t>
  </si>
  <si>
    <t>Tenant Scope</t>
  </si>
  <si>
    <t>Reporting / Audit Evidence</t>
  </si>
  <si>
    <t>Dependencies</t>
  </si>
  <si>
    <t>Source / Basis</t>
  </si>
  <si>
    <t>Story Type</t>
  </si>
  <si>
    <t>Status</t>
  </si>
  <si>
    <t>Notes</t>
  </si>
  <si>
    <t>US-001</t>
  </si>
  <si>
    <t>E01</t>
  </si>
  <si>
    <t>Identity, Authentication &amp; Entitlement</t>
  </si>
  <si>
    <t>Adult login</t>
  </si>
  <si>
    <t>Parent / Guardian</t>
  </si>
  <si>
    <t>Family</t>
  </si>
  <si>
    <t>Web + Mobile</t>
  </si>
  <si>
    <t>As a Parent / Guardian, I want to sign in using a unique account and password so that I can securely access only the children and functions I am entitled to.</t>
  </si>
  <si>
    <t>sign in using a unique account and password</t>
  </si>
  <si>
    <t>I can securely access only the children and functions I am entitled to</t>
  </si>
  <si>
    <t>Authorised parent / guardian can sign in using a unique account and password; the expected result is persisted or returned; validation errors are clear; unauthorised access is denied.</t>
  </si>
  <si>
    <t>Pilot</t>
  </si>
  <si>
    <t>MVP</t>
  </si>
  <si>
    <t>User; Guardian; Child Guardian Link</t>
  </si>
  <si>
    <t>Login</t>
  </si>
  <si>
    <t>Personal data</t>
  </si>
  <si>
    <t>Password policy; RBAC; assignment checks</t>
  </si>
  <si>
    <t>Tenant</t>
  </si>
  <si>
    <t>Login audit</t>
  </si>
  <si>
    <t>Tenant/user provisioning</t>
  </si>
  <si>
    <t>Technical Blueprint v0.2; Original Architecture 2026-07-02</t>
  </si>
  <si>
    <t>Functional</t>
  </si>
  <si>
    <t>Proposed</t>
  </si>
  <si>
    <t>US-002</t>
  </si>
  <si>
    <t>Staff login</t>
  </si>
  <si>
    <t>Teacher</t>
  </si>
  <si>
    <t>School Staff</t>
  </si>
  <si>
    <t>As a Teacher, I want to sign in using my school-linked account so that I can access my assigned pupils and school functions securely.</t>
  </si>
  <si>
    <t>sign in using my school-linked account</t>
  </si>
  <si>
    <t>I can access my assigned pupils and school functions securely</t>
  </si>
  <si>
    <t>Authorised teacher can sign in using my school-linked account; the expected result is persisted or returned; validation errors are clear; unauthorised access is denied.</t>
  </si>
  <si>
    <t>User; Staff Member; Staff School Assignment; Child Staff Assignment</t>
  </si>
  <si>
    <t>Sensitive child data</t>
  </si>
  <si>
    <t>2FA; RBAC; assignment checks</t>
  </si>
  <si>
    <t>Staff assignment</t>
  </si>
  <si>
    <t>Technical Blueprint v0.2</t>
  </si>
  <si>
    <t>US-003</t>
  </si>
  <si>
    <t>Mandatory MFA</t>
  </si>
  <si>
    <t>All adult users</t>
  </si>
  <si>
    <t>All Adult Users</t>
  </si>
  <si>
    <t>As an adult user, I want to complete two-factor authentication at sign-in so that stolen passwords alone cannot expose child data.</t>
  </si>
  <si>
    <t>complete two-factor authentication at sign-in</t>
  </si>
  <si>
    <t>stolen passwords alone cannot expose child data</t>
  </si>
  <si>
    <t>Authorised all adult users can complete two-factor authentication at sign-in; the expected result is persisted or returned; validation errors are clear; unauthorised access is denied.</t>
  </si>
  <si>
    <t>User</t>
  </si>
  <si>
    <t>Login / step-up authentication</t>
  </si>
  <si>
    <t>Mandatory MFA; recovery codes; rate limiting</t>
  </si>
  <si>
    <t>MFA success/failure audit</t>
  </si>
  <si>
    <t>Authentication provider</t>
  </si>
  <si>
    <t>Design direction / current project discussion</t>
  </si>
  <si>
    <t>Security</t>
  </si>
  <si>
    <t>US-004</t>
  </si>
  <si>
    <t>Child authentication</t>
  </si>
  <si>
    <t>Child</t>
  </si>
  <si>
    <t>Mobile + Web</t>
  </si>
  <si>
    <t>As a Child, I want to use an age-appropriate sign-in method so that I can access my own check-ins and permitted content without adult-level complexity.</t>
  </si>
  <si>
    <t>use an age-appropriate sign-in method</t>
  </si>
  <si>
    <t>I can access my own check-ins and permitted content without adult-level complexity</t>
  </si>
  <si>
    <t>Authorised child can use an age-appropriate sign-in method; the expected result is persisted or returned; validation errors are clear; unauthorised access is denied.</t>
  </si>
  <si>
    <t>User; Child</t>
  </si>
  <si>
    <t>Child personal data</t>
  </si>
  <si>
    <t>Age-appropriate authentication; self-only entitlement</t>
  </si>
  <si>
    <t>Child account model</t>
  </si>
  <si>
    <t>Technical Blueprint v0.2; Reference UI wireframe</t>
  </si>
  <si>
    <t>US-005</t>
  </si>
  <si>
    <t>Password reset</t>
  </si>
  <si>
    <t>All users</t>
  </si>
  <si>
    <t>All</t>
  </si>
  <si>
    <t>As an authenticated user, I want to reset a forgotten password through a verified recovery route so that I can regain access without support staff knowing my password.</t>
  </si>
  <si>
    <t>reset a forgotten password through a verified recovery route</t>
  </si>
  <si>
    <t>I can regain access without support staff knowing my password</t>
  </si>
  <si>
    <t>Authorised all users can reset a forgotten password through a verified recovery route; the expected result is persisted or returned; validation errors are clear; unauthorised access is denied.</t>
  </si>
  <si>
    <t>Password recovery</t>
  </si>
  <si>
    <t>Token expiry; no password disclosure</t>
  </si>
  <si>
    <t>Password reset audit</t>
  </si>
  <si>
    <t>Email/SMS service</t>
  </si>
  <si>
    <t>US-006</t>
  </si>
  <si>
    <t>Account lockout</t>
  </si>
  <si>
    <t>Platform Administrator</t>
  </si>
  <si>
    <t>Platform</t>
  </si>
  <si>
    <t>Background</t>
  </si>
  <si>
    <t>As a Platform Administrator, I want to lock or throttle repeated failed login attempts so that credential stuffing and brute-force attacks are reduced.</t>
  </si>
  <si>
    <t>lock or throttle repeated failed login attempts</t>
  </si>
  <si>
    <t>credential stuffing and brute-force attacks are reduced</t>
  </si>
  <si>
    <t>Authorised platform administrator can lock or throttle repeated failed login attempts; the expected result is persisted or returned; validation errors are clear; unauthorised access is denied.</t>
  </si>
  <si>
    <t>Failed login threshold</t>
  </si>
  <si>
    <t>Security telemetry</t>
  </si>
  <si>
    <t>Rate limiting; lockout</t>
  </si>
  <si>
    <t>Security audit</t>
  </si>
  <si>
    <t>Authentication</t>
  </si>
  <si>
    <t>Original Architecture 2026-07-02</t>
  </si>
  <si>
    <t>US-007</t>
  </si>
  <si>
    <t>Session timeout</t>
  </si>
  <si>
    <t>DPO / Information Governance</t>
  </si>
  <si>
    <t>Governance</t>
  </si>
  <si>
    <t>As a DPO / Information Governance, I want to enforce sensible inactivity and absolute session timeouts so that unattended devices do not retain indefinite access to child data.</t>
  </si>
  <si>
    <t>enforce sensible inactivity and absolute session timeouts</t>
  </si>
  <si>
    <t>unattended devices do not retain indefinite access to child data</t>
  </si>
  <si>
    <t>Authorised dpo / information governance can enforce sensible inactivity and absolute session timeouts; the expected result is persisted or returned; validation errors are clear; unauthorised access is denied.</t>
  </si>
  <si>
    <t>Session lifecycle</t>
  </si>
  <si>
    <t>Secure cookie; timeout; re-authentication</t>
  </si>
  <si>
    <t>Session audit</t>
  </si>
  <si>
    <t>US-008</t>
  </si>
  <si>
    <t>Sign out all devices</t>
  </si>
  <si>
    <t>As an authenticated user, I want to revoke all active sessions for my account so that I can respond quickly if a device is lost or compromised.</t>
  </si>
  <si>
    <t>revoke all active sessions for my account</t>
  </si>
  <si>
    <t>I can respond quickly if a device is lost or compromised</t>
  </si>
  <si>
    <t>Authorised all users can revoke all active sessions for my account; the expected result is persisted or returned; validation errors are clear; unauthorised access is denied.</t>
  </si>
  <si>
    <t>Security action</t>
  </si>
  <si>
    <t>Session revocation</t>
  </si>
  <si>
    <t>Revocation audit</t>
  </si>
  <si>
    <t>Session store</t>
  </si>
  <si>
    <t>US-009</t>
  </si>
  <si>
    <t>School SSO</t>
  </si>
  <si>
    <t>School IT Administrator</t>
  </si>
  <si>
    <t>School Admin</t>
  </si>
  <si>
    <t>As a School IT Administrator, I want to configure SAML or OIDC single sign-on for staff so that staff can use existing school identities and offboarding processes.</t>
  </si>
  <si>
    <t>configure SAML or OIDC single sign-on for staff</t>
  </si>
  <si>
    <t>staff can use existing school identities and offboarding processes</t>
  </si>
  <si>
    <t>Authorised school it administrator can configure SAML or OIDC single sign-on for staff; the expected result is persisted or returned; validation errors are clear; unauthorised access is denied.</t>
  </si>
  <si>
    <t>Post-pilot</t>
  </si>
  <si>
    <t>Phase 2</t>
  </si>
  <si>
    <t>User; Staff Member</t>
  </si>
  <si>
    <t>Federated identity; domain verification</t>
  </si>
  <si>
    <t>SSO audit</t>
  </si>
  <si>
    <t>Identity provider</t>
  </si>
  <si>
    <t>Integration</t>
  </si>
  <si>
    <t>US-010</t>
  </si>
  <si>
    <t>Role assignment</t>
  </si>
  <si>
    <t>School Administrator</t>
  </si>
  <si>
    <t>Admin</t>
  </si>
  <si>
    <t>As a School Administrator, I want to assign approved roles such as Teacher, TA, SENCO and School Admin so that users receive capabilities appropriate to their responsibilities.</t>
  </si>
  <si>
    <t>assign approved roles such as Teacher, TA, SENCO and School Admin</t>
  </si>
  <si>
    <t>users receive capabilities appropriate to their responsibilities</t>
  </si>
  <si>
    <t>Authorised school administrator can assign approved roles such as Teacher, TA, SENCO and School Admin; the expected result is persisted or returned; validation errors are clear; unauthorised access is denied.</t>
  </si>
  <si>
    <t>User; Staff Member; Staff School Assignment</t>
  </si>
  <si>
    <t>User administration</t>
  </si>
  <si>
    <t>RBAC; least privilege</t>
  </si>
  <si>
    <t>Role-change audit</t>
  </si>
  <si>
    <t>Staff records</t>
  </si>
  <si>
    <t>US-011</t>
  </si>
  <si>
    <t>Assignment-based access</t>
  </si>
  <si>
    <t>SENCO / SENDCo</t>
  </si>
  <si>
    <t>SEND Leadership</t>
  </si>
  <si>
    <t>As a SENCO / SENDCo, I want to assign staff to specific pupils and school roles so that staff see only pupils they legitimately support.</t>
  </si>
  <si>
    <t>assign staff to specific pupils and school roles</t>
  </si>
  <si>
    <t>staff see only pupils they legitimately support</t>
  </si>
  <si>
    <t>Authorised senco / sendco can assign staff to specific pupils and school roles; the expected result is persisted or returned; validation errors are clear; unauthorised access is denied.</t>
  </si>
  <si>
    <t>Child Staff Assignment; Staff School Assignment</t>
  </si>
  <si>
    <t>Assignment change</t>
  </si>
  <si>
    <t>Object-level entitlement; IDOR prevention</t>
  </si>
  <si>
    <t>Assignment audit</t>
  </si>
  <si>
    <t>Child/staff master data</t>
  </si>
  <si>
    <t>Data Model v0.1; Original Architecture 2026-07-02</t>
  </si>
  <si>
    <t>US-012</t>
  </si>
  <si>
    <t>Guardian entitlement</t>
  </si>
  <si>
    <t>As a School Administrator, I want to link a guardian to one or more children with relationship and responsibility flags so that guardian access follows the real family relationship.</t>
  </si>
  <si>
    <t>link a guardian to one or more children with relationship and responsibility flags</t>
  </si>
  <si>
    <t>guardian access follows the real family relationship</t>
  </si>
  <si>
    <t>Authorised school administrator can link a guardian to one or more children with relationship and responsibility flags; the expected result is persisted or returned; validation errors are clear; unauthorised access is denied.</t>
  </si>
  <si>
    <t>Child Guardian Link; Guardian; Child</t>
  </si>
  <si>
    <t>Relationship administration</t>
  </si>
  <si>
    <t>Family and child data</t>
  </si>
  <si>
    <t>Object-level entitlement</t>
  </si>
  <si>
    <t>Relationship audit</t>
  </si>
  <si>
    <t>Guardian records</t>
  </si>
  <si>
    <t>Data Model v0.1</t>
  </si>
  <si>
    <t>US-013</t>
  </si>
  <si>
    <t>Field-level entitlement</t>
  </si>
  <si>
    <t>As a DPO / Information Governance, I want to restrict especially sensitive fields by role and purpose so that users do not see data merely because they can open the child record.</t>
  </si>
  <si>
    <t>restrict especially sensitive fields by role and purpose</t>
  </si>
  <si>
    <t>users do not see data merely because they can open the child record</t>
  </si>
  <si>
    <t>Authorised dpo / information governance can restrict especially sensitive fields by role and purpose; the expected result is persisted or returned; validation errors are clear; unauthorised access is denied.</t>
  </si>
  <si>
    <t>All sensitive DocTypes</t>
  </si>
  <si>
    <t>Read/write field access</t>
  </si>
  <si>
    <t>Special category / safeguarding</t>
  </si>
  <si>
    <t>Field-level permissions; need-to-know</t>
  </si>
  <si>
    <t>Field access audit where required</t>
  </si>
  <si>
    <t>Data classification</t>
  </si>
  <si>
    <t>Original Architecture 2026-07-02; Technical Blueprint v0.2</t>
  </si>
  <si>
    <t>US-014</t>
  </si>
  <si>
    <t>Delegated school admin</t>
  </si>
  <si>
    <t>As a Platform Administrator, I want to delegate user and role administration to authorised school administrators so that routine account administration does not require platform support.</t>
  </si>
  <si>
    <t>delegate user and role administration to authorised school administrators</t>
  </si>
  <si>
    <t>routine account administration does not require platform support</t>
  </si>
  <si>
    <t>Authorised platform administrator can delegate user and role administration to authorised school administrators; the expected result is persisted or returned; validation errors are clear; unauthorised access is denied.</t>
  </si>
  <si>
    <t>User; Staff School Assignment</t>
  </si>
  <si>
    <t>Admin delegation</t>
  </si>
  <si>
    <t>Scoped admin rights</t>
  </si>
  <si>
    <t>Admin audit</t>
  </si>
  <si>
    <t>Tenant provisioning</t>
  </si>
  <si>
    <t>US-015</t>
  </si>
  <si>
    <t>Support impersonation control</t>
  </si>
  <si>
    <t>Support Analyst</t>
  </si>
  <si>
    <t>Platform Support</t>
  </si>
  <si>
    <t>As a Support Analyst, I want to use a tightly controlled support-access mechanism when troubleshooting so that support can diagnose issues without uncontrolled impersonation.</t>
  </si>
  <si>
    <t>use a tightly controlled support-access mechanism when troubleshooting</t>
  </si>
  <si>
    <t>support can diagnose issues without uncontrolled impersonation</t>
  </si>
  <si>
    <t>Authorised support analyst can use a tightly controlled support-access mechanism when troubleshooting; the expected result is persisted or returned; validation errors are clear; unauthorised access is denied.</t>
  </si>
  <si>
    <t>User; Audit Log</t>
  </si>
  <si>
    <t>Support case</t>
  </si>
  <si>
    <t>Approval; time-limited elevation; full audit</t>
  </si>
  <si>
    <t>Support-access audit</t>
  </si>
  <si>
    <t>Support process</t>
  </si>
  <si>
    <t>US-016</t>
  </si>
  <si>
    <t>Break-glass access</t>
  </si>
  <si>
    <t>Safeguarding Lead / DSL</t>
  </si>
  <si>
    <t>Safeguarding</t>
  </si>
  <si>
    <t>As a Safeguarding Lead / DSL, I want to request emergency access to restricted records where policy permits so that urgent safeguarding work is not blocked by normal role boundaries.</t>
  </si>
  <si>
    <t>request emergency access to restricted records where policy permits</t>
  </si>
  <si>
    <t>urgent safeguarding work is not blocked by normal role boundaries</t>
  </si>
  <si>
    <t>Authorised safeguarding lead / dsl can request emergency access to restricted records where policy permits; the expected result is persisted or returned; validation errors are clear; unauthorised access is denied.</t>
  </si>
  <si>
    <t>User; Child Event; Consent Record</t>
  </si>
  <si>
    <t>Emergency access</t>
  </si>
  <si>
    <t>Safeguarding / highly restricted</t>
  </si>
  <si>
    <t>Step-up MFA; reason capture; alert and audit</t>
  </si>
  <si>
    <t>Break-glass report</t>
  </si>
  <si>
    <t>Safeguarding policy</t>
  </si>
  <si>
    <t>US-017</t>
  </si>
  <si>
    <t>Account deactivation</t>
  </si>
  <si>
    <t>As a School Administrator, I want to deactivate staff or guardian access immediately so that leavers and revoked users can no longer access the platform.</t>
  </si>
  <si>
    <t>deactivate staff or guardian access immediately</t>
  </si>
  <si>
    <t>leavers and revoked users can no longer access the platform</t>
  </si>
  <si>
    <t>Authorised school administrator can deactivate staff or guardian access immediately; the expected result is persisted or returned; validation errors are clear; unauthorised access is denied.</t>
  </si>
  <si>
    <t>User; Staff School Assignment; Child Guardian Link</t>
  </si>
  <si>
    <t>Offboarding</t>
  </si>
  <si>
    <t>Immediate revocation</t>
  </si>
  <si>
    <t>Deactivation audit</t>
  </si>
  <si>
    <t>Identity records</t>
  </si>
  <si>
    <t>US-018</t>
  </si>
  <si>
    <t>E02</t>
  </si>
  <si>
    <t>Multi-tenancy, School Onboarding &amp; Organisation</t>
  </si>
  <si>
    <t>As a Platform Administrator, I want to provision a new school tenant with isolated configuration and data so that a school can be onboarded without exposure to any other school.</t>
  </si>
  <si>
    <t>provision a new school tenant with isolated configuration and data</t>
  </si>
  <si>
    <t>a school can be onboarded without exposure to any other school</t>
  </si>
  <si>
    <t>Authorised platform administrator can provision a new school tenant with isolated configuration and data; the expected result is persisted or returned; validation errors are clear; unauthorised access is denied.</t>
  </si>
  <si>
    <t>School; User</t>
  </si>
  <si>
    <t>Tenant creation</t>
  </si>
  <si>
    <t>All tenant data</t>
  </si>
  <si>
    <t>Strong tenant isolation</t>
  </si>
  <si>
    <t>Provisioning audit</t>
  </si>
  <si>
    <t>Hosting architecture</t>
  </si>
  <si>
    <t>Technical Blueprint v0.2; Design direction / current project discussion</t>
  </si>
  <si>
    <t>Technical</t>
  </si>
  <si>
    <t>US-019</t>
  </si>
  <si>
    <t>Tenant isolation</t>
  </si>
  <si>
    <t>As a DPO / Information Governance, I want to enforce tenant isolation at every data access path so that one school can never access another school's identifiable child data.</t>
  </si>
  <si>
    <t>enforce tenant isolation at every data access path</t>
  </si>
  <si>
    <t>one school can never access another school's identifiable child data</t>
  </si>
  <si>
    <t>Authorised dpo / information governance can enforce tenant isolation at every data access path; the expected result is persisted or returned; validation errors are clear; unauthorised access is denied.</t>
  </si>
  <si>
    <t>All tenant-scoped objects</t>
  </si>
  <si>
    <t>Every read/write</t>
  </si>
  <si>
    <t>Tenant boundary enforcement; negative tests</t>
  </si>
  <si>
    <t>Isolation test evidence</t>
  </si>
  <si>
    <t>Tenant architecture</t>
  </si>
  <si>
    <t>US-020</t>
  </si>
  <si>
    <t>School profile</t>
  </si>
  <si>
    <t>As a School Administrator, I want to maintain school name, contacts and operational settings so that records and communications use accurate school information.</t>
  </si>
  <si>
    <t>maintain school name, contacts and operational settings</t>
  </si>
  <si>
    <t>records and communications use accurate school information</t>
  </si>
  <si>
    <t>Authorised school administrator can maintain school name, contacts and operational settings; the expected result is persisted or returned; validation errors are clear; unauthorised access is denied.</t>
  </si>
  <si>
    <t>School</t>
  </si>
  <si>
    <t>School setup</t>
  </si>
  <si>
    <t>Organisation data</t>
  </si>
  <si>
    <t>Tenant-scoped admin</t>
  </si>
  <si>
    <t>Change audit</t>
  </si>
  <si>
    <t>US-021</t>
  </si>
  <si>
    <t>Academic year setup</t>
  </si>
  <si>
    <t>As a School Administrator, I want to define academic years and relevant start/end dates so that enrolment and reporting align to the school's academic calendar.</t>
  </si>
  <si>
    <t>define academic years and relevant start/end dates</t>
  </si>
  <si>
    <t>enrolment and reporting align to the school's academic calendar</t>
  </si>
  <si>
    <t>Authorised school administrator can define academic years and relevant start/end dates; the expected result is persisted or returned; validation errors are clear; unauthorised access is denied.</t>
  </si>
  <si>
    <t>Academic Year; School</t>
  </si>
  <si>
    <t>Annual configuration</t>
  </si>
  <si>
    <t>Foundation data</t>
  </si>
  <si>
    <t>Tenant admin</t>
  </si>
  <si>
    <t>Configuration audit</t>
  </si>
  <si>
    <t>US-022</t>
  </si>
  <si>
    <t>Multi-school staff identity</t>
  </si>
  <si>
    <t>Staff Member</t>
  </si>
  <si>
    <t>As a Staff Member, I want to hold one person identity across multiple school assignments so that I do not need duplicate identities when legitimately working in several schools.</t>
  </si>
  <si>
    <t>hold one person identity across multiple school assignments</t>
  </si>
  <si>
    <t>I do not need duplicate identities when legitimately working in several schools</t>
  </si>
  <si>
    <t>Authorised staff member can hold one person identity across multiple school assignments; the expected result is persisted or returned; validation errors are clear; unauthorised access is denied.</t>
  </si>
  <si>
    <t>Staff Member; Staff School Assignment</t>
  </si>
  <si>
    <t>School switch / assignment</t>
  </si>
  <si>
    <t>Per-assignment entitlement</t>
  </si>
  <si>
    <t>Multi-tenant</t>
  </si>
  <si>
    <t>Staff model</t>
  </si>
  <si>
    <t>US-023</t>
  </si>
  <si>
    <t>School context switch</t>
  </si>
  <si>
    <t>Multi-school Staff</t>
  </si>
  <si>
    <t>As a Multi-school Staff, I want to switch explicitly between schools I am assigned to so that I can work across schools without mixing data contexts.</t>
  </si>
  <si>
    <t>switch explicitly between schools I am assigned to</t>
  </si>
  <si>
    <t>I can work across schools without mixing data contexts</t>
  </si>
  <si>
    <t>Authorised multi-school staff can switch explicitly between schools I am assigned to; the expected result is persisted or returned; validation errors are clear; unauthorised access is denied.</t>
  </si>
  <si>
    <t>Staff School Assignment; School</t>
  </si>
  <si>
    <t>Context selection</t>
  </si>
  <si>
    <t>Visible tenant context; no mixed lists</t>
  </si>
  <si>
    <t>Context-change audit</t>
  </si>
  <si>
    <t>Multi-school identity</t>
  </si>
  <si>
    <t>UX</t>
  </si>
  <si>
    <t>US-024</t>
  </si>
  <si>
    <t>MAT / trust grouping</t>
  </si>
  <si>
    <t>MAT Administrator</t>
  </si>
  <si>
    <t>School Leadership</t>
  </si>
  <si>
    <t>As a MAT administrator, I want to group schools under a trust or MAT without merging their child datasets so that central governance can be supported while school data remains appropriately separated.</t>
  </si>
  <si>
    <t>group schools under a trust or MAT without merging their child datasets</t>
  </si>
  <si>
    <t>central governance can be supported while school data remains appropriately separated</t>
  </si>
  <si>
    <t>Authorised mat administrator can group schools under a trust or MAT without merging their child datasets; the expected result is persisted or returned; validation errors are clear; unauthorised access is denied.</t>
  </si>
  <si>
    <t>School; Organisation Group</t>
  </si>
  <si>
    <t>Organisation setup</t>
  </si>
  <si>
    <t>Scoped aggregate entitlement</t>
  </si>
  <si>
    <t>MAT-level reporting audit</t>
  </si>
  <si>
    <t>US-025</t>
  </si>
  <si>
    <t>Child school transfer</t>
  </si>
  <si>
    <t>As a School Administrator, I want to record a child's school enrolment history and transfer dates so that historical events retain the correct school context when a child moves.</t>
  </si>
  <si>
    <t>record a child's school enrolment history and transfer dates</t>
  </si>
  <si>
    <t>historical events retain the correct school context when a child moves</t>
  </si>
  <si>
    <t>Authorised school administrator can record a child's school enrolment history and transfer dates; the expected result is persisted or returned; validation errors are clear; unauthorised access is denied.</t>
  </si>
  <si>
    <t>Child School Enrolment; Child; School</t>
  </si>
  <si>
    <t>Transfer / enrolment</t>
  </si>
  <si>
    <t>Child education data</t>
  </si>
  <si>
    <t>Source/target entitlements</t>
  </si>
  <si>
    <t>Transfer audit</t>
  </si>
  <si>
    <t>Academic Year</t>
  </si>
  <si>
    <t>US-026</t>
  </si>
  <si>
    <t>Tenant configuration</t>
  </si>
  <si>
    <t>As a School Administrator, I want to configure permitted local options without changing shared application code so that the platform supports school-specific operation while remaining maintainable.</t>
  </si>
  <si>
    <t>configure permitted local options without changing shared application code</t>
  </si>
  <si>
    <t>the platform supports school-specific operation while remaining maintainable</t>
  </si>
  <si>
    <t>Authorised school administrator can configure permitted local options without changing shared application code; the expected result is persisted or returned; validation errors are clear; unauthorised access is denied.</t>
  </si>
  <si>
    <t>School Configuration</t>
  </si>
  <si>
    <t>Configuration change</t>
  </si>
  <si>
    <t>Scoped configuration rights</t>
  </si>
  <si>
    <t>Configuration history</t>
  </si>
  <si>
    <t>US-027</t>
  </si>
  <si>
    <t>Tenant offboarding</t>
  </si>
  <si>
    <t>As a Platform Administrator, I want to close a school tenant using an approved export, retention and deletion process so that contract termination does not leave orphaned or inaccessible child data.</t>
  </si>
  <si>
    <t>close a school tenant using an approved export, retention and deletion process</t>
  </si>
  <si>
    <t>contract termination does not leave orphaned or inaccessible child data</t>
  </si>
  <si>
    <t>Authorised platform administrator can close a school tenant using an approved export, retention and deletion process; the expected result is persisted or returned; validation errors are clear; unauthorised access is denied.</t>
  </si>
  <si>
    <t>School; all tenant data</t>
  </si>
  <si>
    <t>Authorised export; retention; secure deletion</t>
  </si>
  <si>
    <t>Offboarding evidence</t>
  </si>
  <si>
    <t>Export; retention policy</t>
  </si>
  <si>
    <t>US-028</t>
  </si>
  <si>
    <t>Environment separation</t>
  </si>
  <si>
    <t>DevOps</t>
  </si>
  <si>
    <t>As a Platform Administrator, I want to separate development, UAT and production tenant data and configuration so that test activity cannot contaminate live child data.</t>
  </si>
  <si>
    <t>separate development, UAT and production tenant data and configuration</t>
  </si>
  <si>
    <t>test activity cannot contaminate live child data</t>
  </si>
  <si>
    <t>Authorised platform administrator can separate development, UAT and production tenant data and configuration; the expected result is persisted or returned; validation errors are clear; unauthorised access is denied.</t>
  </si>
  <si>
    <t>Environment config</t>
  </si>
  <si>
    <t>Deployment</t>
  </si>
  <si>
    <t>All data</t>
  </si>
  <si>
    <t>Environment isolation</t>
  </si>
  <si>
    <t>Deployment audit</t>
  </si>
  <si>
    <t>CI/CD</t>
  </si>
  <si>
    <t>US-029</t>
  </si>
  <si>
    <t>No demo data in production</t>
  </si>
  <si>
    <t>As a Platform Administrator, I want to disable demo-data generation and internal seed endpoints in production so that fictional data and unsafe maintenance routes cannot appear in live school environments.</t>
  </si>
  <si>
    <t>disable demo-data generation and internal seed endpoints in production</t>
  </si>
  <si>
    <t>fictional data and unsafe maintenance routes cannot appear in live school environments</t>
  </si>
  <si>
    <t>Authorised platform administrator can disable demo-data generation and internal seed endpoints in production; the expected result is persisted or returned; validation errors are clear; unauthorised access is denied.</t>
  </si>
  <si>
    <t>Environment guards</t>
  </si>
  <si>
    <t>Deployment evidence</t>
  </si>
  <si>
    <t>US-030</t>
  </si>
  <si>
    <t>Tenant backup ownership</t>
  </si>
  <si>
    <t>As a School Administrator, I want to know which tenant data is backed up and how restore requests are handled so that school leadership can understand recovery responsibilities.</t>
  </si>
  <si>
    <t>know which tenant data is backed up and how restore requests are handled</t>
  </si>
  <si>
    <t>school leadership can understand recovery responsibilities</t>
  </si>
  <si>
    <t>Authorised school administrator can know which tenant data is backed up and how restore requests are handled; the expected result is persisted or returned; validation errors are clear; unauthorised access is denied.</t>
  </si>
  <si>
    <t>School; Backup metadata</t>
  </si>
  <si>
    <t>Operational request</t>
  </si>
  <si>
    <t>Scoped recovery process</t>
  </si>
  <si>
    <t>Backup/restore report</t>
  </si>
  <si>
    <t>Backup service</t>
  </si>
  <si>
    <t>US-031</t>
  </si>
  <si>
    <t>E03</t>
  </si>
  <si>
    <t>Foundation Data &amp; Reference Management</t>
  </si>
  <si>
    <t>School foundation record</t>
  </si>
  <si>
    <t>As a School Administrator, I want to create and maintain canonical school foundation data so that all downstream records reference one trusted school identity.</t>
  </si>
  <si>
    <t>create and maintain canonical school foundation data</t>
  </si>
  <si>
    <t>all downstream records reference one trusted school identity</t>
  </si>
  <si>
    <t>Authorised school administrator can create and maintain canonical school foundation data; the expected result is persisted or returned; validation errors are clear; unauthorised access is denied.</t>
  </si>
  <si>
    <t>Create/update</t>
  </si>
  <si>
    <t>Admin-only update</t>
  </si>
  <si>
    <t>Change history</t>
  </si>
  <si>
    <t>US-032</t>
  </si>
  <si>
    <t>Year-group catalogue</t>
  </si>
  <si>
    <t>As a School Administrator, I want to maintain allowed year groups and phases so that child records use consistent education-stage values.</t>
  </si>
  <si>
    <t>maintain allowed year groups and phases</t>
  </si>
  <si>
    <t>child records use consistent education-stage values</t>
  </si>
  <si>
    <t>Authorised school administrator can maintain allowed year groups and phases; the expected result is persisted or returned; validation errors are clear; unauthorised access is denied.</t>
  </si>
  <si>
    <t>Child; Foundation Data</t>
  </si>
  <si>
    <t>Configuration</t>
  </si>
  <si>
    <t>Education data</t>
  </si>
  <si>
    <t>DQ report</t>
  </si>
  <si>
    <t>US-033</t>
  </si>
  <si>
    <t>Role catalogue</t>
  </si>
  <si>
    <t>As a Platform Administrator, I want to maintain a controlled catalogue of supported school roles so that entitlements and reporting use consistent role definitions.</t>
  </si>
  <si>
    <t>maintain a controlled catalogue of supported school roles</t>
  </si>
  <si>
    <t>entitlements and reporting use consistent role definitions</t>
  </si>
  <si>
    <t>Authorised platform administrator can maintain a controlled catalogue of supported school roles; the expected result is persisted or returned; validation errors are clear; unauthorised access is denied.</t>
  </si>
  <si>
    <t>Role; Staff School Assignment</t>
  </si>
  <si>
    <t>Access-control metadata</t>
  </si>
  <si>
    <t>Platform admin</t>
  </si>
  <si>
    <t>RBAC model</t>
  </si>
  <si>
    <t>US-034</t>
  </si>
  <si>
    <t>Support strategy catalogue</t>
  </si>
  <si>
    <t>As a SENCO / SENDCo, I want to maintain a reusable catalogue of support strategies so that staff can select consistent strategies instead of repeatedly typing free text.</t>
  </si>
  <si>
    <t>maintain a reusable catalogue of support strategies</t>
  </si>
  <si>
    <t>staff can select consistent strategies instead of repeatedly typing free text</t>
  </si>
  <si>
    <t>Authorised senco / sendco can maintain a reusable catalogue of support strategies; the expected result is persisted or returned; validation errors are clear; unauthorised access is denied.</t>
  </si>
  <si>
    <t>Support Strategy</t>
  </si>
  <si>
    <t>Support data</t>
  </si>
  <si>
    <t>SEND role edit</t>
  </si>
  <si>
    <t>Usage report</t>
  </si>
  <si>
    <t>Support profile</t>
  </si>
  <si>
    <t>US-035</t>
  </si>
  <si>
    <t>Event type catalogue</t>
  </si>
  <si>
    <t>As a Platform Administrator, I want to govern event and transaction types centrally so that timeline records remain consistent across features and reports.</t>
  </si>
  <si>
    <t>govern event and transaction types centrally</t>
  </si>
  <si>
    <t>timeline records remain consistent across features and reports</t>
  </si>
  <si>
    <t>Authorised platform administrator can govern event and transaction types centrally; the expected result is persisted or returned; validation errors are clear; unauthorised access is denied.</t>
  </si>
  <si>
    <t>Child Event</t>
  </si>
  <si>
    <t>Operational data</t>
  </si>
  <si>
    <t>Transactional model</t>
  </si>
  <si>
    <t>US-036</t>
  </si>
  <si>
    <t>Reference value deactivation</t>
  </si>
  <si>
    <t>Data Steward</t>
  </si>
  <si>
    <t>As a Data Steward, I want to deactivate obsolete reference values without deleting historical meaning so that old records remain interpretable while new records use current values.</t>
  </si>
  <si>
    <t>deactivate obsolete reference values without deleting historical meaning</t>
  </si>
  <si>
    <t>old records remain interpretable while new records use current values</t>
  </si>
  <si>
    <t>Authorised data steward can deactivate obsolete reference values without deleting historical meaning; the expected result is persisted or returned; validation errors are clear; unauthorised access is denied.</t>
  </si>
  <si>
    <t>Foundation Data</t>
  </si>
  <si>
    <t>Reference retirement</t>
  </si>
  <si>
    <t>Metadata</t>
  </si>
  <si>
    <t>Steward/admin</t>
  </si>
  <si>
    <t>Tenant or Platform</t>
  </si>
  <si>
    <t>Foundation catalogues</t>
  </si>
  <si>
    <t>US-037</t>
  </si>
  <si>
    <t>Reference value ownership</t>
  </si>
  <si>
    <t>As a DPO / Information Governance, I want to assign an owner and review cycle to important foundation datasets so that reference data does not become unmanaged or contradictory.</t>
  </si>
  <si>
    <t>assign an owner and review cycle to important foundation datasets</t>
  </si>
  <si>
    <t>reference data does not become unmanaged or contradictory</t>
  </si>
  <si>
    <t>Authorised dpo / information governance can assign an owner and review cycle to important foundation datasets; the expected result is persisted or returned; validation errors are clear; unauthorised access is denied.</t>
  </si>
  <si>
    <t>Periodic review</t>
  </si>
  <si>
    <t>Governance role</t>
  </si>
  <si>
    <t>Certification report</t>
  </si>
  <si>
    <t>Data governance model</t>
  </si>
  <si>
    <t>US-038</t>
  </si>
  <si>
    <t>Duplicate prevention</t>
  </si>
  <si>
    <t>As a School Administrator, I want to detect likely duplicate child, guardian and staff records before creation so that the same person is not represented multiple times unnecessarily.</t>
  </si>
  <si>
    <t>detect likely duplicate child, guardian and staff records before creation</t>
  </si>
  <si>
    <t>the same person is not represented multiple times unnecessarily</t>
  </si>
  <si>
    <t>Authorised school administrator can detect likely duplicate child, guardian and staff records before creation; the expected result is persisted or returned; validation errors are clear; unauthorised access is denied.</t>
  </si>
  <si>
    <t>Child; Guardian; Staff Member</t>
  </si>
  <si>
    <t>Create/import</t>
  </si>
  <si>
    <t>Scoped matching; no cross-tenant leakage</t>
  </si>
  <si>
    <t>Duplicate report</t>
  </si>
  <si>
    <t>US-039</t>
  </si>
  <si>
    <t>Canonical naming</t>
  </si>
  <si>
    <t>As a Platform Administrator, I want to apply stable internal IDs and human-readable titles so that relationships remain technically stable while users see meaningful names.</t>
  </si>
  <si>
    <t>apply stable internal IDs and human-readable titles</t>
  </si>
  <si>
    <t>relationships remain technically stable while users see meaningful names</t>
  </si>
  <si>
    <t>Authorised platform administrator can apply stable internal IDs and human-readable titles; the expected result is persisted or returned; validation errors are clear; unauthorised access is denied.</t>
  </si>
  <si>
    <t>All core DocTypes</t>
  </si>
  <si>
    <t>Record creation</t>
  </si>
  <si>
    <t>Standard naming</t>
  </si>
  <si>
    <t>Data integrity</t>
  </si>
  <si>
    <t>Data model</t>
  </si>
  <si>
    <t>US-040</t>
  </si>
  <si>
    <t>Controlled enum changes</t>
  </si>
  <si>
    <t>As a Data Steward, I want to review changes to controlled lists such as severity, context and relationship type so that analytics do not fragment because similar concepts use different labels.</t>
  </si>
  <si>
    <t>review changes to controlled lists such as severity, context and relationship type</t>
  </si>
  <si>
    <t>analytics do not fragment because similar concepts use different labels</t>
  </si>
  <si>
    <t>Authorised data steward can review changes to controlled lists such as severity, context and relationship type; the expected result is persisted or returned; validation errors are clear; unauthorised access is denied.</t>
  </si>
  <si>
    <t>Enums / Select fields</t>
  </si>
  <si>
    <t>Change request</t>
  </si>
  <si>
    <t>Steward approval</t>
  </si>
  <si>
    <t>Change log</t>
  </si>
  <si>
    <t>Governance process</t>
  </si>
  <si>
    <t>US-041</t>
  </si>
  <si>
    <t>Reference import</t>
  </si>
  <si>
    <t>As a School Administrator, I want to import approved foundation data using a validated template so that school setup can be completed efficiently without manual re-keying.</t>
  </si>
  <si>
    <t>import approved foundation data using a validated template</t>
  </si>
  <si>
    <t>school setup can be completed efficiently without manual re-keying</t>
  </si>
  <si>
    <t>Authorised school administrator can import approved foundation data using a validated template; the expected result is persisted or returned; validation errors are clear; unauthorised access is denied.</t>
  </si>
  <si>
    <t>School; Academic Year; Support Strategy</t>
  </si>
  <si>
    <t>Import</t>
  </si>
  <si>
    <t>Organisation/support metadata</t>
  </si>
  <si>
    <t>Admin import rights</t>
  </si>
  <si>
    <t>Import log</t>
  </si>
  <si>
    <t>Import engine</t>
  </si>
  <si>
    <t>US-042</t>
  </si>
  <si>
    <t>Reference export</t>
  </si>
  <si>
    <t>As a Data Steward, I want to export foundation datasets and definitions so that governance reviews and migrations can verify the current controlled values.</t>
  </si>
  <si>
    <t>export foundation datasets and definitions</t>
  </si>
  <si>
    <t>governance reviews and migrations can verify the current controlled values</t>
  </si>
  <si>
    <t>Authorised data steward can export foundation datasets and definitions; the expected result is persisted or returned; validation errors are clear; unauthorised access is denied.</t>
  </si>
  <si>
    <t>Export</t>
  </si>
  <si>
    <t>Governance rights</t>
  </si>
  <si>
    <t>Export audit</t>
  </si>
  <si>
    <t>Export engine</t>
  </si>
  <si>
    <t>US-043</t>
  </si>
  <si>
    <t>Data dictionary</t>
  </si>
  <si>
    <t>Product / Implementation Team</t>
  </si>
  <si>
    <t>As a Product / Implementation Team, I want to maintain definitions for core fields, entities and controlled values so that developers, schools and analysts interpret the data consistently.</t>
  </si>
  <si>
    <t>maintain definitions for core fields, entities and controlled values</t>
  </si>
  <si>
    <t>developers, schools and analysts interpret the data consistently</t>
  </si>
  <si>
    <t>Authorised product / implementation team can maintain definitions for core fields, entities and controlled values; the expected result is persisted or returned; validation errors are clear; unauthorised access is denied.</t>
  </si>
  <si>
    <t>Data Model</t>
  </si>
  <si>
    <t>Documentation update</t>
  </si>
  <si>
    <t>Controlled documentation</t>
  </si>
  <si>
    <t>Version history</t>
  </si>
  <si>
    <t>US-044</t>
  </si>
  <si>
    <t>E04</t>
  </si>
  <si>
    <t>Child, Guardian &amp; Staff Relationship Management</t>
  </si>
  <si>
    <t>Create child</t>
  </si>
  <si>
    <t>As a School Administrator, I want to create a child record with core identity, school and year information so that the child can participate in all downstream workflows.</t>
  </si>
  <si>
    <t>create a child record with core identity, school and year information</t>
  </si>
  <si>
    <t>the child can participate in all downstream workflows</t>
  </si>
  <si>
    <t>Authorised school administrator can create a child record with core identity, school and year information; the expected result is persisted or returned; validation errors are clear; unauthorised access is denied.</t>
  </si>
  <si>
    <t>Child; Child School Enrolment</t>
  </si>
  <si>
    <t>Onboarding</t>
  </si>
  <si>
    <t>School admin create</t>
  </si>
  <si>
    <t>Creation audit</t>
  </si>
  <si>
    <t>School foundation data</t>
  </si>
  <si>
    <t>US-045</t>
  </si>
  <si>
    <t>Update child</t>
  </si>
  <si>
    <t>As a School Administrator, I want to update a child's current non-historical attributes so that the child's active profile remains accurate.</t>
  </si>
  <si>
    <t>update a child's current non-historical attributes</t>
  </si>
  <si>
    <t>the child's active profile remains accurate</t>
  </si>
  <si>
    <t>Authorised school administrator can update a child's current non-historical attributes; the expected result is persisted or returned; validation errors are clear; unauthorised access is denied.</t>
  </si>
  <si>
    <t>Profile maintenance</t>
  </si>
  <si>
    <t>Entitled edit</t>
  </si>
  <si>
    <t>Child record</t>
  </si>
  <si>
    <t>US-046</t>
  </si>
  <si>
    <t>Guardian relationship</t>
  </si>
  <si>
    <t>As a School Administrator, I want to link multiple guardians or carers to a child with relationship attributes so that family access and communications reflect real arrangements.</t>
  </si>
  <si>
    <t>link multiple guardians or carers to a child with relationship attributes</t>
  </si>
  <si>
    <t>family access and communications reflect real arrangements</t>
  </si>
  <si>
    <t>Authorised school administrator can link multiple guardians or carers to a child with relationship attributes; the expected result is persisted or returned; validation errors are clear; unauthorised access is denied.</t>
  </si>
  <si>
    <t>Guardian; Child Guardian Link</t>
  </si>
  <si>
    <t>Relationship setup</t>
  </si>
  <si>
    <t>Family/child data</t>
  </si>
  <si>
    <t>Object entitlement</t>
  </si>
  <si>
    <t>Guardian master</t>
  </si>
  <si>
    <t>US-047</t>
  </si>
  <si>
    <t>Parental responsibility flag</t>
  </si>
  <si>
    <t>As a School Administrator, I want to record parental responsibility on the child-guardian relationship so that authorisation decisions can use the correct legal/operational context.</t>
  </si>
  <si>
    <t>record parental responsibility on the child-guardian relationship</t>
  </si>
  <si>
    <t>authorisation decisions can use the correct legal/operational context</t>
  </si>
  <si>
    <t>Authorised school administrator can record parental responsibility on the child-guardian relationship; the expected result is persisted or returned; validation errors are clear; unauthorised access is denied.</t>
  </si>
  <si>
    <t>Child Guardian Link</t>
  </si>
  <si>
    <t>Restricted edit</t>
  </si>
  <si>
    <t>US-048</t>
  </si>
  <si>
    <t>Primary contact</t>
  </si>
  <si>
    <t>As a School Administrator, I want to identify primary and emergency contacts per child so that staff know whom to contact without guessing.</t>
  </si>
  <si>
    <t>identify primary and emergency contacts per child</t>
  </si>
  <si>
    <t>staff know whom to contact without guessing</t>
  </si>
  <si>
    <t>Authorised school administrator can identify primary and emergency contacts per child; the expected result is persisted or returned; validation errors are clear; unauthorised access is denied.</t>
  </si>
  <si>
    <t>Contact data</t>
  </si>
  <si>
    <t>Entitled view</t>
  </si>
  <si>
    <t>Contact-change audit</t>
  </si>
  <si>
    <t>US-049</t>
  </si>
  <si>
    <t>As a SENCO / SENDCo, I want to assign school-specific staff roles to a child so that the right teacher, TA and SENCO receive access and workflow tasks.</t>
  </si>
  <si>
    <t>assign school-specific staff roles to a child</t>
  </si>
  <si>
    <t>the right teacher, TA and SENCO receive access and workflow tasks</t>
  </si>
  <si>
    <t>Authorised senco / sendco can assign school-specific staff roles to a child; the expected result is persisted or returned; validation errors are clear; unauthorised access is denied.</t>
  </si>
  <si>
    <t>Assignment</t>
  </si>
  <si>
    <t>Staff master</t>
  </si>
  <si>
    <t>US-050</t>
  </si>
  <si>
    <t>Relationship effective dates</t>
  </si>
  <si>
    <t>As a School Administrator, I want to record start and end dates for guardian and staff relationships so that historical access and responsibility can be reconstructed.</t>
  </si>
  <si>
    <t>record start and end dates for guardian and staff relationships</t>
  </si>
  <si>
    <t>historical access and responsibility can be reconstructed</t>
  </si>
  <si>
    <t>Authorised school administrator can record start and end dates for guardian and staff relationships; the expected result is persisted or returned; validation errors are clear; unauthorised access is denied.</t>
  </si>
  <si>
    <t>Child Guardian Link; Child Staff Assignment</t>
  </si>
  <si>
    <t>Relationship change</t>
  </si>
  <si>
    <t>Historical access logic</t>
  </si>
  <si>
    <t>History report</t>
  </si>
  <si>
    <t>Relationship model</t>
  </si>
  <si>
    <t>US-051</t>
  </si>
  <si>
    <t>Archive child</t>
  </si>
  <si>
    <t>As a School Administrator, I want to archive a child who has left without deleting the longitudinal record so that historical evidence is retained according to policy but removed from active worklists.</t>
  </si>
  <si>
    <t>archive a child who has left without deleting the longitudinal record</t>
  </si>
  <si>
    <t>historical evidence is retained according to policy but removed from active worklists</t>
  </si>
  <si>
    <t>Authorised school administrator can archive a child who has left without deleting the longitudinal record; the expected result is persisted or returned; validation errors are clear; unauthorised access is denied.</t>
  </si>
  <si>
    <t>Child data</t>
  </si>
  <si>
    <t>Restricted archive</t>
  </si>
  <si>
    <t>Archive audit</t>
  </si>
  <si>
    <t>Retention policy</t>
  </si>
  <si>
    <t>US-052</t>
  </si>
  <si>
    <t>Child search</t>
  </si>
  <si>
    <t>As a Teacher, I want to find an entitled child quickly by name or class context so that I can enter the right pupil workflow with minimal friction.</t>
  </si>
  <si>
    <t>find an entitled child quickly by name or class context</t>
  </si>
  <si>
    <t>I can enter the right pupil workflow with minimal friction</t>
  </si>
  <si>
    <t>Authorised teacher can find an entitled child quickly by name or class context; the expected result is persisted or returned; validation errors are clear; unauthorised access is denied.</t>
  </si>
  <si>
    <t>Child; Child Staff Assignment</t>
  </si>
  <si>
    <t>Search</t>
  </si>
  <si>
    <t>Child identity data</t>
  </si>
  <si>
    <t>Entitlement-filtered search</t>
  </si>
  <si>
    <t>Search not necessarily audited</t>
  </si>
  <si>
    <t>Assignments</t>
  </si>
  <si>
    <t>Reference UI wireframe</t>
  </si>
  <si>
    <t>US-053</t>
  </si>
  <si>
    <t>Merge duplicate person</t>
  </si>
  <si>
    <t>As a School Administrator, I want to merge duplicate child, guardian or staff records through a controlled process so that relationships and history are not fragmented across duplicates.</t>
  </si>
  <si>
    <t>merge duplicate child, guardian or staff records through a controlled process</t>
  </si>
  <si>
    <t>relationships and history are not fragmented across duplicates</t>
  </si>
  <si>
    <t>Authorised school administrator can merge duplicate child, guardian or staff records through a controlled process; the expected result is persisted or returned; validation errors are clear; unauthorised access is denied.</t>
  </si>
  <si>
    <t>Data correction</t>
  </si>
  <si>
    <t>Privileged merge; audit</t>
  </si>
  <si>
    <t>Merge audit</t>
  </si>
  <si>
    <t>Duplicate detection</t>
  </si>
  <si>
    <t>US-054</t>
  </si>
  <si>
    <t>Relationship overview</t>
  </si>
  <si>
    <t>Web + Admin</t>
  </si>
  <si>
    <t>As a SENCO / SENDCo, I want to see guardians and assigned staff from the child profile so that I can understand the child's current support network at a glance.</t>
  </si>
  <si>
    <t>see guardians and assigned staff from the child profile</t>
  </si>
  <si>
    <t>I can understand the child's current support network at a glance</t>
  </si>
  <si>
    <t>Authorised senco / sendco can see guardians and assigned staff from the child profile; the expected result is persisted or returned; validation errors are clear; unauthorised access is denied.</t>
  </si>
  <si>
    <t>Open child profile</t>
  </si>
  <si>
    <t>Entitlement-filtered view</t>
  </si>
  <si>
    <t>N/A</t>
  </si>
  <si>
    <t>Relationship data</t>
  </si>
  <si>
    <t>US-055</t>
  </si>
  <si>
    <t>E05</t>
  </si>
  <si>
    <t>Child Support Profile &amp; Continuity of Support</t>
  </si>
  <si>
    <t>As a SENCO / SENDCo, I want to maintain one current consolidated support profile per child so that staff have a trusted summary of how to support the child.</t>
  </si>
  <si>
    <t>maintain one current consolidated support profile per child</t>
  </si>
  <si>
    <t>staff have a trusted summary of how to support the child</t>
  </si>
  <si>
    <t>Authorised senco / sendco can maintain one current consolidated support profile per child; the expected result is persisted or returned; validation errors are clear; unauthorised access is denied.</t>
  </si>
  <si>
    <t>Child Support Profile</t>
  </si>
  <si>
    <t>Profile update</t>
  </si>
  <si>
    <t>Sensitive support data</t>
  </si>
  <si>
    <t>SEND/assigned staff edit; guardian view rules</t>
  </si>
  <si>
    <t>US-056</t>
  </si>
  <si>
    <t>Communication preference</t>
  </si>
  <si>
    <t>As a Parent / Guardian, I want to record how my child communicates and prefers information to be presented so that staff can adapt interactions appropriately.</t>
  </si>
  <si>
    <t>record how my child communicates and prefers information to be presented</t>
  </si>
  <si>
    <t>staff can adapt interactions appropriately</t>
  </si>
  <si>
    <t>Authorised parent / guardian can record how my child communicates and prefers information to be presented; the expected result is persisted or returned; validation errors are clear; unauthorised access is denied.</t>
  </si>
  <si>
    <t>Entitled view/edit workflow</t>
  </si>
  <si>
    <t>US-057</t>
  </si>
  <si>
    <t>Known triggers</t>
  </si>
  <si>
    <t>As a SENCO / SENDCo, I want to record known triggers and contexts associated with distress so that staff can anticipate difficult situations rather than react late.</t>
  </si>
  <si>
    <t>record known triggers and contexts associated with distress</t>
  </si>
  <si>
    <t>staff can anticipate difficult situations rather than react late</t>
  </si>
  <si>
    <t>Authorised senco / sendco can record known triggers and contexts associated with distress; the expected result is persisted or returned; validation errors are clear; unauthorised access is denied.</t>
  </si>
  <si>
    <t>Child Trigger</t>
  </si>
  <si>
    <t>Special category / support data</t>
  </si>
  <si>
    <t>Need-to-know</t>
  </si>
  <si>
    <t>Trigger usage/reporting</t>
  </si>
  <si>
    <t>US-058</t>
  </si>
  <si>
    <t>Distress indicators</t>
  </si>
  <si>
    <t>As a Teacher, I want to see observable signs that a child may be becoming distressed so that I can intervene earlier and more consistently.</t>
  </si>
  <si>
    <t>see observable signs that a child may be becoming distressed</t>
  </si>
  <si>
    <t>I can intervene earlier and more consistently</t>
  </si>
  <si>
    <t>Authorised teacher can see observable signs that a child may be becoming distressed; the expected result is persisted or returned; validation errors are clear; unauthorised access is denied.</t>
  </si>
  <si>
    <t>Child Distress Indicator</t>
  </si>
  <si>
    <t>Profile view</t>
  </si>
  <si>
    <t>Assigned staff view</t>
  </si>
  <si>
    <t>US-059</t>
  </si>
  <si>
    <t>Preferred strategies</t>
  </si>
  <si>
    <t>As a SENCO / SENDCo, I want to assign recommended strategies and instructions to a child so that staff have clear, reusable guidance rather than relying on memory.</t>
  </si>
  <si>
    <t>assign recommended strategies and instructions to a child</t>
  </si>
  <si>
    <t>staff have clear, reusable guidance rather than relying on memory</t>
  </si>
  <si>
    <t>Authorised senco / sendco can assign recommended strategies and instructions to a child; the expected result is persisted or returned; validation errors are clear; unauthorised access is denied.</t>
  </si>
  <si>
    <t>Child Support Strategy; Support Strategy</t>
  </si>
  <si>
    <t>SEND edit; staff view</t>
  </si>
  <si>
    <t>Strategy usage later</t>
  </si>
  <si>
    <t>Strategy catalogue</t>
  </si>
  <si>
    <t>US-060</t>
  </si>
  <si>
    <t>Sensory needs</t>
  </si>
  <si>
    <t>As a Parent / Guardian, I want to contribute relevant sensory needs and effective adjustments so that home knowledge can inform school support.</t>
  </si>
  <si>
    <t>contribute relevant sensory needs and effective adjustments</t>
  </si>
  <si>
    <t>home knowledge can inform school support</t>
  </si>
  <si>
    <t>Authorised parent / guardian can contribute relevant sensory needs and effective adjustments; the expected result is persisted or returned; validation errors are clear; unauthorised access is denied.</t>
  </si>
  <si>
    <t>Profile contribution</t>
  </si>
  <si>
    <t>Guardian contribution / school review</t>
  </si>
  <si>
    <t>US-061</t>
  </si>
  <si>
    <t>Medication context</t>
  </si>
  <si>
    <t>As a SENCO / SENDCo, I want to record school-relevant medication context when lawful and necessary so that staff can interpret observations with appropriate context.</t>
  </si>
  <si>
    <t>record school-relevant medication context when lawful and necessary</t>
  </si>
  <si>
    <t>staff can interpret observations with appropriate context</t>
  </si>
  <si>
    <t>Authorised senco / sendco can record school-relevant medication context when lawful and necessary; the expected result is persisted or returned; validation errors are clear; unauthorised access is denied.</t>
  </si>
  <si>
    <t>Child Medication</t>
  </si>
  <si>
    <t>Health / special category data</t>
  </si>
  <si>
    <t>Highly restricted field access</t>
  </si>
  <si>
    <t>Access/change audit</t>
  </si>
  <si>
    <t>Consent/lawful basis</t>
  </si>
  <si>
    <t>US-062</t>
  </si>
  <si>
    <t>Strengths profile</t>
  </si>
  <si>
    <t>As a Teacher, I want to record evidenced strengths and positive patterns so that the child's profile is not defined only by difficulties.</t>
  </si>
  <si>
    <t>record evidenced strengths and positive patterns</t>
  </si>
  <si>
    <t>the child's profile is not defined only by difficulties</t>
  </si>
  <si>
    <t>Authorised teacher can record evidenced strengths and positive patterns; the expected result is persisted or returned; validation errors are clear; unauthorised access is denied.</t>
  </si>
  <si>
    <t>Child Strength</t>
  </si>
  <si>
    <t>Observation / profile update</t>
  </si>
  <si>
    <t>Child support data</t>
  </si>
  <si>
    <t>Assigned staff; guardian/child view rules</t>
  </si>
  <si>
    <t>Strength trend</t>
  </si>
  <si>
    <t>Observation model</t>
  </si>
  <si>
    <t>US-063</t>
  </si>
  <si>
    <t>Non-negotiables</t>
  </si>
  <si>
    <t>As a SENCO / SENDCo, I want to record critical support instructions and non-negotiables so that new or substitute staff can avoid preventable harm or distress.</t>
  </si>
  <si>
    <t>record critical support instructions and non-negotiables</t>
  </si>
  <si>
    <t>new or substitute staff can avoid preventable harm or distress</t>
  </si>
  <si>
    <t>Authorised senco / sendco can record critical support instructions and non-negotiables; the expected result is persisted or returned; validation errors are clear; unauthorised access is denied.</t>
  </si>
  <si>
    <t>US-064</t>
  </si>
  <si>
    <t>Profile review cycle</t>
  </si>
  <si>
    <t>Background + Web</t>
  </si>
  <si>
    <t>As a SENCO / SENDCo, I want to set review dates for child support profiles so that stale support guidance is identified and refreshed.</t>
  </si>
  <si>
    <t>set review dates for child support profiles</t>
  </si>
  <si>
    <t>stale support guidance is identified and refreshed</t>
  </si>
  <si>
    <t>Authorised senco / sendco can set review dates for child support profiles; the expected result is persisted or returned; validation errors are clear; unauthorised access is denied.</t>
  </si>
  <si>
    <t>Child Support Profile; Follow-Up Action</t>
  </si>
  <si>
    <t>Scheduled review</t>
  </si>
  <si>
    <t>SEND ownership</t>
  </si>
  <si>
    <t>Overdue profile report</t>
  </si>
  <si>
    <t>Workflow engine</t>
  </si>
  <si>
    <t>Workflow</t>
  </si>
  <si>
    <t>US-065</t>
  </si>
  <si>
    <t>Printable handover profile</t>
  </si>
  <si>
    <t>Web</t>
  </si>
  <si>
    <t>As a Teacher, I want to generate a concise printable support profile for an entitled new teacher or TA so that continuity of support is maintained during staffing changes.</t>
  </si>
  <si>
    <t>generate a concise printable support profile for an entitled new teacher or TA</t>
  </si>
  <si>
    <t>continuity of support is maintained during staffing changes</t>
  </si>
  <si>
    <t>Authorised teacher can generate a concise printable support profile for an entitled new teacher or TA; the expected result is persisted or returned; validation errors are clear; unauthorised access is denied.</t>
  </si>
  <si>
    <t>Child Support Profile; Child Support Strategy; Child Trigger</t>
  </si>
  <si>
    <t>Consent-aware export; watermark/audit</t>
  </si>
  <si>
    <t>Reporting/export engine</t>
  </si>
  <si>
    <t>Reporting</t>
  </si>
  <si>
    <t>US-066</t>
  </si>
  <si>
    <t>Profile history</t>
  </si>
  <si>
    <t>Auditor / Information Governance</t>
  </si>
  <si>
    <t>As an auditor / information governance reviewer, I want to view who changed support-profile content and when so that disputed or high-impact changes can be reconstructed.</t>
  </si>
  <si>
    <t>view who changed support-profile content and when</t>
  </si>
  <si>
    <t>disputed or high-impact changes can be reconstructed</t>
  </si>
  <si>
    <t>Authorised auditor / information governance can view who changed support-profile content and when; the expected result is persisted or returned; validation errors are clear; unauthorised access is denied.</t>
  </si>
  <si>
    <t>Change</t>
  </si>
  <si>
    <t>Audit permissions</t>
  </si>
  <si>
    <t>Version/audit log</t>
  </si>
  <si>
    <t>Track changes</t>
  </si>
  <si>
    <t>US-067</t>
  </si>
  <si>
    <t>E06</t>
  </si>
  <si>
    <t>Daily Handover &amp; Transition</t>
  </si>
  <si>
    <t>Morning handover</t>
  </si>
  <si>
    <t>As a Parent / Guardian, I want to submit a quick morning handover before school so that staff know relevant overnight or morning context before the child arrives.</t>
  </si>
  <si>
    <t>submit a quick morning handover before school</t>
  </si>
  <si>
    <t>staff know relevant overnight or morning context before the child arrives</t>
  </si>
  <si>
    <t>Authorised parent / guardian can submit a quick morning handover before school; the expected result is persisted or returned; validation errors are clear; unauthorised access is denied.</t>
  </si>
  <si>
    <t>Transition Log; Child Event</t>
  </si>
  <si>
    <t>Morning flow</t>
  </si>
  <si>
    <t>Sensitive child/family data</t>
  </si>
  <si>
    <t>Guardian-child entitlement</t>
  </si>
  <si>
    <t>Timeline/audit</t>
  </si>
  <si>
    <t>Original Architecture 2026-07-02; Reference UI wireframe</t>
  </si>
  <si>
    <t>US-068</t>
  </si>
  <si>
    <t>Sleep context</t>
  </si>
  <si>
    <t>As a Parent / Guardian, I want to record a simple sleep quality or duration indicator so that staff can interpret regulation and attention in context.</t>
  </si>
  <si>
    <t>record a simple sleep quality or duration indicator</t>
  </si>
  <si>
    <t>staff can interpret regulation and attention in context</t>
  </si>
  <si>
    <t>Authorised parent / guardian can record a simple sleep quality or duration indicator; the expected result is persisted or returned; validation errors are clear; unauthorised access is denied.</t>
  </si>
  <si>
    <t>Transition Log</t>
  </si>
  <si>
    <t>Health/wellbeing context</t>
  </si>
  <si>
    <t>Trend analytics</t>
  </si>
  <si>
    <t>US-069</t>
  </si>
  <si>
    <t>Breakfast/appetite</t>
  </si>
  <si>
    <t>As a Parent / Guardian, I want to record whether the child ate and any relevant appetite issue so that staff can anticipate wellbeing or medication-related needs.</t>
  </si>
  <si>
    <t>record whether the child ate and any relevant appetite issue</t>
  </si>
  <si>
    <t>staff can anticipate wellbeing or medication-related needs</t>
  </si>
  <si>
    <t>Authorised parent / guardian can record whether the child ate and any relevant appetite issue; the expected result is persisted or returned; validation errors are clear; unauthorised access is denied.</t>
  </si>
  <si>
    <t>US-070</t>
  </si>
  <si>
    <t>Medication taken</t>
  </si>
  <si>
    <t>As a Parent / Guardian, I want to record only the relevant medication status needed for the school day so that staff receive necessary context without collecting excessive clinical data.</t>
  </si>
  <si>
    <t>record only the relevant medication status needed for the school day</t>
  </si>
  <si>
    <t>staff receive necessary context without collecting excessive clinical data</t>
  </si>
  <si>
    <t>Authorised parent / guardian can record only the relevant medication status needed for the school day; the expected result is persisted or returned; validation errors are clear; unauthorised access is denied.</t>
  </si>
  <si>
    <t>Transition Log; Child Medication</t>
  </si>
  <si>
    <t>Restricted visibility</t>
  </si>
  <si>
    <t>Access audit</t>
  </si>
  <si>
    <t>Lawful basis/consent</t>
  </si>
  <si>
    <t>US-071</t>
  </si>
  <si>
    <t>Morning mood</t>
  </si>
  <si>
    <t>As a Parent / Guardian, I want to record a simple mood or regulation state so that school staff have an immediate starting-point signal.</t>
  </si>
  <si>
    <t>record a simple mood or regulation state</t>
  </si>
  <si>
    <t>school staff have an immediate starting-point signal</t>
  </si>
  <si>
    <t>Authorised parent / guardian can record a simple mood or regulation state; the expected result is persisted or returned; validation errors are clear; unauthorised access is denied.</t>
  </si>
  <si>
    <t>Wellbeing data</t>
  </si>
  <si>
    <t>US-072</t>
  </si>
  <si>
    <t>Free-text flag</t>
  </si>
  <si>
    <t>As a Parent / Guardian, I want to add a short note about anything school should know so that important context that does not fit structured fields is not lost.</t>
  </si>
  <si>
    <t>add a short note about anything school should know</t>
  </si>
  <si>
    <t>important context that does not fit structured fields is not lost</t>
  </si>
  <si>
    <t>Authorised parent / guardian can add a short note about anything school should know; the expected result is persisted or returned; validation errors are clear; unauthorised access is denied.</t>
  </si>
  <si>
    <t>Potentially sensitive free text</t>
  </si>
  <si>
    <t>Entitlement; content guidance</t>
  </si>
  <si>
    <t>Timeline</t>
  </si>
  <si>
    <t>US-073</t>
  </si>
  <si>
    <t>Under-30-second flow</t>
  </si>
  <si>
    <t>Mobile</t>
  </si>
  <si>
    <t>As a Parent / Guardian, I want to complete the core morning flow with minimal typing and one question at a time so that daily use remains realistic for busy families.</t>
  </si>
  <si>
    <t>complete the core morning flow with minimal typing and one question at a time</t>
  </si>
  <si>
    <t>daily use remains realistic for busy families</t>
  </si>
  <si>
    <t>Authorised parent / guardian can complete the core morning flow with minimal typing and one question at a time; the expected result is persisted or returned; validation errors are clear; unauthorised access is denied.</t>
  </si>
  <si>
    <t>Authenticated session</t>
  </si>
  <si>
    <t>Completion time metric</t>
  </si>
  <si>
    <t>Mobile UX</t>
  </si>
  <si>
    <t>US-074</t>
  </si>
  <si>
    <t>Staff arrival view</t>
  </si>
  <si>
    <t>Teaching Assistant</t>
  </si>
  <si>
    <t>As a Teaching Assistant, I want to see morning handovers for my assigned pupils before arrival so that I can prepare support before the child enters a difficult environment.</t>
  </si>
  <si>
    <t>see morning handovers for my assigned pupils before arrival</t>
  </si>
  <si>
    <t>I can prepare support before the child enters a difficult environment</t>
  </si>
  <si>
    <t>Authorised teaching assistant can see morning handovers for my assigned pupils before arrival; the expected result is persisted or returned; validation errors are clear; unauthorised access is denied.</t>
  </si>
  <si>
    <t>Transition Log; Child Staff Assignment</t>
  </si>
  <si>
    <t>Morning briefing</t>
  </si>
  <si>
    <t>Assignment-filtered</t>
  </si>
  <si>
    <t>Read audit if required</t>
  </si>
  <si>
    <t>US-075</t>
  </si>
  <si>
    <t>End-of-day handover</t>
  </si>
  <si>
    <t>As a Teacher, I want to record a concise end-of-day handover so that guardians understand how the day went and what may matter at home.</t>
  </si>
  <si>
    <t>record a concise end-of-day handover</t>
  </si>
  <si>
    <t>guardians understand how the day went and what may matter at home</t>
  </si>
  <si>
    <t>Authorised teacher can record a concise end-of-day handover; the expected result is persisted or returned; validation errors are clear; unauthorised access is denied.</t>
  </si>
  <si>
    <t>End-of-day flow</t>
  </si>
  <si>
    <t>Assigned staff write; guardian view</t>
  </si>
  <si>
    <t>US-076</t>
  </si>
  <si>
    <t>Handover acknowledgement</t>
  </si>
  <si>
    <t>As a Parent / Guardian, I want to acknowledge an important handover when requested so that school can know significant information was received.</t>
  </si>
  <si>
    <t>acknowledge an important handover when requested</t>
  </si>
  <si>
    <t>school can know significant information was received</t>
  </si>
  <si>
    <t>Authorised parent / guardian can acknowledge an important handover when requested; the expected result is persisted or returned; validation errors are clear; unauthorised access is denied.</t>
  </si>
  <si>
    <t>Transition Log; Message</t>
  </si>
  <si>
    <t>Important handover</t>
  </si>
  <si>
    <t>Acknowledgement audit</t>
  </si>
  <si>
    <t>Notification service</t>
  </si>
  <si>
    <t>US-077</t>
  </si>
  <si>
    <t>Handover correction</t>
  </si>
  <si>
    <t>Reporter</t>
  </si>
  <si>
    <t>As a Reporter, I want to correct a recently submitted handover without erasing the original so that errors can be fixed while maintaining an audit trail.</t>
  </si>
  <si>
    <t>correct a recently submitted handover without erasing the original</t>
  </si>
  <si>
    <t>errors can be fixed while maintaining an audit trail</t>
  </si>
  <si>
    <t>Authorised reporter can correct a recently submitted handover without erasing the original; the expected result is persisted or returned; validation errors are clear; unauthorised access is denied.</t>
  </si>
  <si>
    <t>Amendment</t>
  </si>
  <si>
    <t>Author/edit-window rules</t>
  </si>
  <si>
    <t>Audit</t>
  </si>
  <si>
    <t>US-078</t>
  </si>
  <si>
    <t>Late / missing handover</t>
  </si>
  <si>
    <t>As a Teacher, I want to see that no morning handover was submitted without treating absence as a problem so that I can distinguish missing data from a negative state.</t>
  </si>
  <si>
    <t>see that no morning handover was submitted without treating absence as a problem</t>
  </si>
  <si>
    <t>I can distinguish missing data from a negative state</t>
  </si>
  <si>
    <t>Authorised teacher can see that no morning handover was submitted without treating absence as a problem; the expected result is persisted or returned; validation errors are clear; unauthorised access is denied.</t>
  </si>
  <si>
    <t>Expected handover time</t>
  </si>
  <si>
    <t>Operational metadata</t>
  </si>
  <si>
    <t>Completion dashboard</t>
  </si>
  <si>
    <t>Scheduler</t>
  </si>
  <si>
    <t>US-079</t>
  </si>
  <si>
    <t>E07</t>
  </si>
  <si>
    <t>Child Self Check-In &amp; Voice</t>
  </si>
  <si>
    <t>Mood check-in</t>
  </si>
  <si>
    <t>As a Child, I want to select a simple mood or feeling state so that I can communicate how I feel without needing a long conversation.</t>
  </si>
  <si>
    <t>select a simple mood or feeling state</t>
  </si>
  <si>
    <t>I can communicate how I feel without needing a long conversation</t>
  </si>
  <si>
    <t>Authorised child can select a simple mood or feeling state; the expected result is persisted or returned; validation errors are clear; unauthorised access is denied.</t>
  </si>
  <si>
    <t>Child Check-In; Child Event</t>
  </si>
  <si>
    <t>Child check-in</t>
  </si>
  <si>
    <t>Child wellbeing data</t>
  </si>
  <si>
    <t>Self-only create; configured sharing</t>
  </si>
  <si>
    <t>Timeline/trend</t>
  </si>
  <si>
    <t>US-080</t>
  </si>
  <si>
    <t>Support request</t>
  </si>
  <si>
    <t>As a Child, I want to quietly request help, a break or a known support strategy so that I can ask for support before distress escalates.</t>
  </si>
  <si>
    <t>quietly request help, a break or a known support strategy</t>
  </si>
  <si>
    <t>I can ask for support before distress escalates</t>
  </si>
  <si>
    <t>Authorised child can quietly request help, a break or a known support strategy; the expected result is persisted or returned; validation errors are clear; unauthorised access is denied.</t>
  </si>
  <si>
    <t>Child Check-In; Follow-Up Action</t>
  </si>
  <si>
    <t>Routes only to entitled staff</t>
  </si>
  <si>
    <t>Response-time report</t>
  </si>
  <si>
    <t>Notification workflow</t>
  </si>
  <si>
    <t>US-081</t>
  </si>
  <si>
    <t>Simple child UX</t>
  </si>
  <si>
    <t>As a Child, I want to use large, clear controls and minimal text so that I can use the feature independently at an age-appropriate level.</t>
  </si>
  <si>
    <t>use large, clear controls and minimal text</t>
  </si>
  <si>
    <t>I can use the feature independently at an age-appropriate level</t>
  </si>
  <si>
    <t>Authorised child can use large, clear controls and minimal text; the expected result is persisted or returned; validation errors are clear; unauthorised access is denied.</t>
  </si>
  <si>
    <t>Child Check-In</t>
  </si>
  <si>
    <t>Check-in</t>
  </si>
  <si>
    <t>Authenticated child session</t>
  </si>
  <si>
    <t>Usability metric</t>
  </si>
  <si>
    <t>US-082</t>
  </si>
  <si>
    <t>Check-in visibility choice</t>
  </si>
  <si>
    <t>As a SENCO / SENDCo, I want to configure which child check-in fields are visible to guardians and staff so that child voice can be respected without indiscriminate disclosure.</t>
  </si>
  <si>
    <t>configure which child check-in fields are visible to guardians and staff</t>
  </si>
  <si>
    <t>child voice can be respected without indiscriminate disclosure</t>
  </si>
  <si>
    <t>Authorised senco / sendco can configure which child check-in fields are visible to guardians and staff; the expected result is persisted or returned; validation errors are clear; unauthorised access is denied.</t>
  </si>
  <si>
    <t>Record access</t>
  </si>
  <si>
    <t>Privacy model</t>
  </si>
  <si>
    <t>US-083</t>
  </si>
  <si>
    <t>Safe disclosure escalation</t>
  </si>
  <si>
    <t>As a Safeguarding Lead / DSL, I want to route configured safeguarding indicators to the correct school process so that a concerning child disclosure is not treated as an ordinary wellbeing score.</t>
  </si>
  <si>
    <t>route configured safeguarding indicators to the correct school process</t>
  </si>
  <si>
    <t>a concerning child disclosure is not treated as an ordinary wellbeing score</t>
  </si>
  <si>
    <t>Authorised safeguarding lead / dsl can route configured safeguarding indicators to the correct school process; the expected result is persisted or returned; validation errors are clear; unauthorised access is denied.</t>
  </si>
  <si>
    <t>Safeguarding trigger</t>
  </si>
  <si>
    <t>Restricted workflow; no automated diagnosis</t>
  </si>
  <si>
    <t>Escalation audit</t>
  </si>
  <si>
    <t>US-084</t>
  </si>
  <si>
    <t>Child timeline view</t>
  </si>
  <si>
    <t>As a Child, I want to view the subset of my own timeline intended for me so that I can understand what has been recorded and celebrate positive progress.</t>
  </si>
  <si>
    <t>view the subset of my own timeline intended for me</t>
  </si>
  <si>
    <t>I can understand what has been recorded and celebrate positive progress</t>
  </si>
  <si>
    <t>Authorised child can view the subset of my own timeline intended for me; the expected result is persisted or returned; validation errors are clear; unauthorised access is denied.</t>
  </si>
  <si>
    <t>View timeline</t>
  </si>
  <si>
    <t>Self-only; visibility rules</t>
  </si>
  <si>
    <t>US-085</t>
  </si>
  <si>
    <t>Check-in reminder</t>
  </si>
  <si>
    <t>As a Child, I want to receive an optional reminder at configured times so that I can build a consistent check-in routine.</t>
  </si>
  <si>
    <t>receive an optional reminder at configured times</t>
  </si>
  <si>
    <t>I can build a consistent check-in routine</t>
  </si>
  <si>
    <t>Authorised child can receive an optional reminder at configured times; the expected result is persisted or returned; validation errors are clear; unauthorised access is denied.</t>
  </si>
  <si>
    <t>Scheduled reminder</t>
  </si>
  <si>
    <t>Notification preferences</t>
  </si>
  <si>
    <t>Reminder delivery</t>
  </si>
  <si>
    <t>Push notifications</t>
  </si>
  <si>
    <t>US-086</t>
  </si>
  <si>
    <t>Accessible alternatives</t>
  </si>
  <si>
    <t>As a Child, I want to use visual, symbol-based or accessible alternatives to text-heavy check-in questions so that communication differences do not prevent participation.</t>
  </si>
  <si>
    <t>use visual, symbol-based or accessible alternatives to text-heavy check-in questions</t>
  </si>
  <si>
    <t>communication differences do not prevent participation</t>
  </si>
  <si>
    <t>Authorised child can use visual, symbol-based or accessible alternatives to text-heavy check-in questions; the expected result is persisted or returned; validation errors are clear; unauthorised access is denied.</t>
  </si>
  <si>
    <t>Accessible presentation</t>
  </si>
  <si>
    <t>Accessibility testing</t>
  </si>
  <si>
    <t>UX framework</t>
  </si>
  <si>
    <t>Accessibility</t>
  </si>
  <si>
    <t>US-087</t>
  </si>
  <si>
    <t>E08</t>
  </si>
  <si>
    <t>Observations &amp; Learning Evidence</t>
  </si>
  <si>
    <t>Teacher observation</t>
  </si>
  <si>
    <t>As a Teacher, I want to log a structured observation against an assigned child so that important events become usable longitudinal evidence rather than disappearing in informal notes.</t>
  </si>
  <si>
    <t>log a structured observation against an assigned child</t>
  </si>
  <si>
    <t>important events become usable longitudinal evidence rather than disappearing in informal notes</t>
  </si>
  <si>
    <t>Authorised teacher can log a structured observation against an assigned child; the expected result is persisted or returned; validation errors are clear; unauthorised access is denied.</t>
  </si>
  <si>
    <t>Observation; Child Event</t>
  </si>
  <si>
    <t>Observation create</t>
  </si>
  <si>
    <t>Assigned staff create</t>
  </si>
  <si>
    <t>Child assignment</t>
  </si>
  <si>
    <t>US-088</t>
  </si>
  <si>
    <t>TA observation</t>
  </si>
  <si>
    <t>As a Teaching Assistant, I want to log a quick observation for an assigned pupil so that front-line support knowledge is captured close to the event.</t>
  </si>
  <si>
    <t>log a quick observation for an assigned pupil</t>
  </si>
  <si>
    <t>front-line support knowledge is captured close to the event</t>
  </si>
  <si>
    <t>Authorised teaching assistant can log a quick observation for an assigned pupil; the expected result is persisted or returned; validation errors are clear; unauthorised access is denied.</t>
  </si>
  <si>
    <t>US-089</t>
  </si>
  <si>
    <t>Observation category</t>
  </si>
  <si>
    <t>As a Teacher, I want to classify an observation as wellbeing, learning, behaviour, communication, sensory or another controlled category so that later filtering and analysis is meaningful.</t>
  </si>
  <si>
    <t>classify an observation as wellbeing, learning, behaviour, communication, sensory or another controlled category</t>
  </si>
  <si>
    <t>later filtering and analysis is meaningful</t>
  </si>
  <si>
    <t>Authorised teacher can classify an observation as wellbeing, learning, behaviour, communication, sensory or another controlled category; the expected result is persisted or returned; validation errors are clear; unauthorised access is denied.</t>
  </si>
  <si>
    <t>Observation</t>
  </si>
  <si>
    <t>Assigned staff</t>
  </si>
  <si>
    <t>Category analytics</t>
  </si>
  <si>
    <t>Foundation enums</t>
  </si>
  <si>
    <t>US-090</t>
  </si>
  <si>
    <t>Learning engagement</t>
  </si>
  <si>
    <t>As a Teacher, I want to record engagement and independence levels so that progress can be understood beyond simple task completion.</t>
  </si>
  <si>
    <t>record engagement and independence levels</t>
  </si>
  <si>
    <t>progress can be understood beyond simple task completion</t>
  </si>
  <si>
    <t>Authorised teacher can record engagement and independence levels; the expected result is persisted or returned; validation errors are clear; unauthorised access is denied.</t>
  </si>
  <si>
    <t>Education/support data</t>
  </si>
  <si>
    <t>Learning trend</t>
  </si>
  <si>
    <t>Observation form</t>
  </si>
  <si>
    <t>US-091</t>
  </si>
  <si>
    <t>Antecedent / context</t>
  </si>
  <si>
    <t>As a Teacher, I want to record what was happening immediately before a notable observation so that patterns can later be evaluated without claiming causation.</t>
  </si>
  <si>
    <t>record what was happening immediately before a notable observation</t>
  </si>
  <si>
    <t>patterns can later be evaluated without claiming causation</t>
  </si>
  <si>
    <t>Authorised teacher can record what was happening immediately before a notable observation; the expected result is persisted or returned; validation errors are clear; unauthorised access is denied.</t>
  </si>
  <si>
    <t>Pattern analysis</t>
  </si>
  <si>
    <t>US-092</t>
  </si>
  <si>
    <t>Strategy used</t>
  </si>
  <si>
    <t>As a Teacher, I want to record support or intervention used during an observation so that the record explains not just what happened but what staff did.</t>
  </si>
  <si>
    <t>record support or intervention used during an observation</t>
  </si>
  <si>
    <t>the record explains not just what happened but what staff did</t>
  </si>
  <si>
    <t>Authorised teacher can record support or intervention used during an observation; the expected result is persisted or returned; validation errors are clear; unauthorised access is denied.</t>
  </si>
  <si>
    <t>Observation; Child Support Strategy</t>
  </si>
  <si>
    <t>Strategy report</t>
  </si>
  <si>
    <t>Support strategy</t>
  </si>
  <si>
    <t>US-093</t>
  </si>
  <si>
    <t>Strategy effectiveness</t>
  </si>
  <si>
    <t>As a Teacher, I want to rate the observed effectiveness of a strategy so that the support plan can be informed by accumulated evidence.</t>
  </si>
  <si>
    <t>rate the observed effectiveness of a strategy</t>
  </si>
  <si>
    <t>the support plan can be informed by accumulated evidence</t>
  </si>
  <si>
    <t>Authorised teacher can rate the observed effectiveness of a strategy; the expected result is persisted or returned; validation errors are clear; unauthorised access is denied.</t>
  </si>
  <si>
    <t>Observation; Strategy Use</t>
  </si>
  <si>
    <t>Intervention analytics</t>
  </si>
  <si>
    <t>Strategy model</t>
  </si>
  <si>
    <t>US-094</t>
  </si>
  <si>
    <t>Positive achievement</t>
  </si>
  <si>
    <t>As a Teacher, I want to flag a positive achievement or breakthrough so that strengths and successful conditions are captured alongside concerns.</t>
  </si>
  <si>
    <t>flag a positive achievement or breakthrough</t>
  </si>
  <si>
    <t>strengths and successful conditions are captured alongside concerns</t>
  </si>
  <si>
    <t>Authorised teacher can flag a positive achievement or breakthrough; the expected result is persisted or returned; validation errors are clear; unauthorised access is denied.</t>
  </si>
  <si>
    <t>Observation; Child Strength</t>
  </si>
  <si>
    <t>Positive-events dashboard</t>
  </si>
  <si>
    <t>US-095</t>
  </si>
  <si>
    <t>Concern flag</t>
  </si>
  <si>
    <t>As a Teacher, I want to flag an observation for SENCO review so that significant concerns enter a managed triage workflow.</t>
  </si>
  <si>
    <t>flag an observation for SENCO review</t>
  </si>
  <si>
    <t>significant concerns enter a managed triage workflow</t>
  </si>
  <si>
    <t>Authorised teacher can flag an observation for SENCO review; the expected result is persisted or returned; validation errors are clear; unauthorised access is denied.</t>
  </si>
  <si>
    <t>Observation; Child Event; Follow-Up Action</t>
  </si>
  <si>
    <t>Flag for review</t>
  </si>
  <si>
    <t>Assigned staff -&gt; SENCO</t>
  </si>
  <si>
    <t>Review queue</t>
  </si>
  <si>
    <t>US-096</t>
  </si>
  <si>
    <t>Quick capture</t>
  </si>
  <si>
    <t>As a Teaching Assistant, I want to log a routine observation in under 45 seconds so that staff can record evidence during a busy school day.</t>
  </si>
  <si>
    <t>log a routine observation in under 45 seconds</t>
  </si>
  <si>
    <t>staff can record evidence during a busy school day</t>
  </si>
  <si>
    <t>Authorised teaching assistant can log a routine observation in under 45 seconds; the expected result is persisted or returned; validation errors are clear; unauthorised access is denied.</t>
  </si>
  <si>
    <t>Completion-time metric</t>
  </si>
  <si>
    <t>US-097</t>
  </si>
  <si>
    <t>Observation attachment</t>
  </si>
  <si>
    <t>As a Teacher, I want to attach a permitted document or image when needed so that supporting evidence can be retained with the observation.</t>
  </si>
  <si>
    <t>attach a permitted document or image when needed</t>
  </si>
  <si>
    <t>supporting evidence can be retained with the observation</t>
  </si>
  <si>
    <t>Authorised teacher can attach a permitted document or image when needed; the expected result is persisted or returned; validation errors are clear; unauthorised access is denied.</t>
  </si>
  <si>
    <t>Observation; File; Child Document</t>
  </si>
  <si>
    <t>Attachment upload</t>
  </si>
  <si>
    <t>Potentially highly sensitive</t>
  </si>
  <si>
    <t>File type/size scanning; entitlement</t>
  </si>
  <si>
    <t>Attachment audit</t>
  </si>
  <si>
    <t>File service</t>
  </si>
  <si>
    <t>US-098</t>
  </si>
  <si>
    <t>Observation amendment</t>
  </si>
  <si>
    <t>As a Reporter, I want to amend an observation with a reason while preserving its history so that factual errors can be corrected transparently.</t>
  </si>
  <si>
    <t>amend an observation with a reason while preserving its history</t>
  </si>
  <si>
    <t>factual errors can be corrected transparently</t>
  </si>
  <si>
    <t>Authorised reporter can amend an observation with a reason while preserving its history; the expected result is persisted or returned; validation errors are clear; unauthorised access is denied.</t>
  </si>
  <si>
    <t>Author/privileged edit rules</t>
  </si>
  <si>
    <t>US-099</t>
  </si>
  <si>
    <t>E09</t>
  </si>
  <si>
    <t>Behavioural Incidents, Concerns &amp; Safeguarding</t>
  </si>
  <si>
    <t>Staff incident log</t>
  </si>
  <si>
    <t>As a Teacher, I want to record a structured behavioural incident so that serious events are captured consistently and can be reviewed later.</t>
  </si>
  <si>
    <t>record a structured behavioural incident</t>
  </si>
  <si>
    <t>serious events are captured consistently and can be reviewed later</t>
  </si>
  <si>
    <t>Authorised teacher can record a structured behavioural incident; the expected result is persisted or returned; validation errors are clear; unauthorised access is denied.</t>
  </si>
  <si>
    <t>Behavioural Incident; Child Event</t>
  </si>
  <si>
    <t>Incident create</t>
  </si>
  <si>
    <t>Sensitive / potentially safeguarding</t>
  </si>
  <si>
    <t>Incident chronology</t>
  </si>
  <si>
    <t>US-100</t>
  </si>
  <si>
    <t>Guardian incident log</t>
  </si>
  <si>
    <t>As a Parent / Guardian, I want to record a relevant incident that occurred outside school so that important home context can contribute to the shared picture where appropriate.</t>
  </si>
  <si>
    <t>record a relevant incident that occurred outside school</t>
  </si>
  <si>
    <t>important home context can contribute to the shared picture where appropriate</t>
  </si>
  <si>
    <t>Authorised parent / guardian can record a relevant incident that occurred outside school; the expected result is persisted or returned; validation errors are clear; unauthorised access is denied.</t>
  </si>
  <si>
    <t>Sensitive family/child data</t>
  </si>
  <si>
    <t>Guardian link</t>
  </si>
  <si>
    <t>US-101</t>
  </si>
  <si>
    <t>Incident severity</t>
  </si>
  <si>
    <t>As a Reporter, I want to record severity using a controlled scale so that triage and trend reporting are consistent.</t>
  </si>
  <si>
    <t>record severity using a controlled scale</t>
  </si>
  <si>
    <t>triage and trend reporting are consistent</t>
  </si>
  <si>
    <t>Authorised reporter can record severity using a controlled scale; the expected result is persisted or returned; validation errors are clear; unauthorised access is denied.</t>
  </si>
  <si>
    <t>Behavioural Incident</t>
  </si>
  <si>
    <t>Entitled create</t>
  </si>
  <si>
    <t>Severity trend</t>
  </si>
  <si>
    <t>US-102</t>
  </si>
  <si>
    <t>Duration and frequency</t>
  </si>
  <si>
    <t>As a Reporter, I want to record duration and frequency when relevant so that changes over time can be measured more objectively.</t>
  </si>
  <si>
    <t>record duration and frequency when relevant</t>
  </si>
  <si>
    <t>changes over time can be measured more objectively</t>
  </si>
  <si>
    <t>Authorised reporter can record duration and frequency when relevant; the expected result is persisted or returned; validation errors are clear; unauthorised access is denied.</t>
  </si>
  <si>
    <t>7/14/30/90 day trends</t>
  </si>
  <si>
    <t>Incident model</t>
  </si>
  <si>
    <t>US-103</t>
  </si>
  <si>
    <t>Antecedent/context</t>
  </si>
  <si>
    <t>As a Reporter, I want to record the immediate context before an incident so that staff and families can identify recurring situations without unsupported conclusions.</t>
  </si>
  <si>
    <t>record the immediate context before an incident</t>
  </si>
  <si>
    <t>staff and families can identify recurring situations without unsupported conclusions</t>
  </si>
  <si>
    <t>Authorised reporter can record the immediate context before an incident; the expected result is persisted or returned; validation errors are clear; unauthorised access is denied.</t>
  </si>
  <si>
    <t>Pattern analytics</t>
  </si>
  <si>
    <t>US-104</t>
  </si>
  <si>
    <t>Consequence / response</t>
  </si>
  <si>
    <t>As a Reporter, I want to record what happened after the incident and what support was provided so that the chronology includes response and resolution, not only behaviour.</t>
  </si>
  <si>
    <t>record what happened after the incident and what support was provided</t>
  </si>
  <si>
    <t>the chronology includes response and resolution, not only behaviour</t>
  </si>
  <si>
    <t>Authorised reporter can record what happened after the incident and what support was provided; the expected result is persisted or returned; validation errors are clear; unauthorised access is denied.</t>
  </si>
  <si>
    <t>Behavioural Incident; Strategy Use</t>
  </si>
  <si>
    <t>US-105</t>
  </si>
  <si>
    <t>Injury indicator</t>
  </si>
  <si>
    <t>As a Teacher, I want to record whether an injury or medical response occurred so that appropriate school processes can be followed and evidenced.</t>
  </si>
  <si>
    <t>record whether an injury or medical response occurred</t>
  </si>
  <si>
    <t>appropriate school processes can be followed and evidenced</t>
  </si>
  <si>
    <t>Authorised teacher can record whether an injury or medical response occurred; the expected result is persisted or returned; validation errors are clear; unauthorised access is denied.</t>
  </si>
  <si>
    <t>Health/safeguarding data</t>
  </si>
  <si>
    <t>Incident report</t>
  </si>
  <si>
    <t>School policy</t>
  </si>
  <si>
    <t>US-106</t>
  </si>
  <si>
    <t>Safeguarding flag</t>
  </si>
  <si>
    <t>As a Teacher, I want to flag that an incident must follow safeguarding procedures so that the product does not treat safeguarding as ordinary messaging.</t>
  </si>
  <si>
    <t>flag that an incident must follow safeguarding procedures</t>
  </si>
  <si>
    <t>the product does not treat safeguarding as ordinary messaging</t>
  </si>
  <si>
    <t>Authorised teacher can flag that an incident must follow safeguarding procedures; the expected result is persisted or returned; validation errors are clear; unauthorised access is denied.</t>
  </si>
  <si>
    <t>Behavioural Incident; Follow-Up Action</t>
  </si>
  <si>
    <t>Safeguarding escalation</t>
  </si>
  <si>
    <t>DSL-only restricted workflow</t>
  </si>
  <si>
    <t>US-107</t>
  </si>
  <si>
    <t>Restricted notes</t>
  </si>
  <si>
    <t>As a Safeguarding Lead / DSL, I want to record highly restricted safeguarding notes separately from general timeline visibility so that need-to-know information is not exposed to all otherwise entitled users.</t>
  </si>
  <si>
    <t>record highly restricted safeguarding notes separately from general timeline visibility</t>
  </si>
  <si>
    <t>need-to-know information is not exposed to all otherwise entitled users</t>
  </si>
  <si>
    <t>Authorised safeguarding lead / dsl can record highly restricted safeguarding notes separately from general timeline visibility; the expected result is persisted or returned; validation errors are clear; unauthorised access is denied.</t>
  </si>
  <si>
    <t>Behavioural Incident; Child Document</t>
  </si>
  <si>
    <t>Restricted note</t>
  </si>
  <si>
    <t>Field/document-level restriction</t>
  </si>
  <si>
    <t>US-108</t>
  </si>
  <si>
    <t>Urgent notification</t>
  </si>
  <si>
    <t>Background + Mobile</t>
  </si>
  <si>
    <t>As a SENCO / SENDCo, I want to receive an urgent alert for configured incident thresholds so that high-priority events are reviewed promptly.</t>
  </si>
  <si>
    <t>receive an urgent alert for configured incident thresholds</t>
  </si>
  <si>
    <t>high-priority events are reviewed promptly</t>
  </si>
  <si>
    <t>Authorised senco / sendco can receive an urgent alert for configured incident thresholds; the expected result is persisted or returned; validation errors are clear; unauthorised access is denied.</t>
  </si>
  <si>
    <t>Severity threshold</t>
  </si>
  <si>
    <t>Role-scoped notification</t>
  </si>
  <si>
    <t>Notification delivery</t>
  </si>
  <si>
    <t>US-109</t>
  </si>
  <si>
    <t>Incident follow-up</t>
  </si>
  <si>
    <t>As a SENCO / SENDCo, I want to create and assign follow-up actions from an incident so that review, contact or support changes are not lost after the event.</t>
  </si>
  <si>
    <t>create and assign follow-up actions from an incident</t>
  </si>
  <si>
    <t>review, contact or support changes are not lost after the event</t>
  </si>
  <si>
    <t>Authorised senco / sendco can create and assign follow-up actions from an incident; the expected result is persisted or returned; validation errors are clear; unauthorised access is denied.</t>
  </si>
  <si>
    <t>Follow-Up Action; Behavioural Incident</t>
  </si>
  <si>
    <t>Incident review</t>
  </si>
  <si>
    <t>Role/assignment-based</t>
  </si>
  <si>
    <t>Action status report</t>
  </si>
  <si>
    <t>Follow-up model</t>
  </si>
  <si>
    <t>US-110</t>
  </si>
  <si>
    <t>As a SENCO / SENDCo, I want to view incidents in chronological context with related observations and handovers so that I can review escalation patterns with the surrounding evidence.</t>
  </si>
  <si>
    <t>view incidents in chronological context with related observations and handovers</t>
  </si>
  <si>
    <t>I can review escalation patterns with the surrounding evidence</t>
  </si>
  <si>
    <t>Authorised senco / sendco can view incidents in chronological context with related observations and handovers; the expected result is persisted or returned; validation errors are clear; unauthorised access is denied.</t>
  </si>
  <si>
    <t>Child Event; Behavioural Incident; Observation; Transition Log</t>
  </si>
  <si>
    <t>Open timeline/report</t>
  </si>
  <si>
    <t>Chronology report</t>
  </si>
  <si>
    <t>US-111</t>
  </si>
  <si>
    <t>No clinical diagnosis</t>
  </si>
  <si>
    <t>Product Owner</t>
  </si>
  <si>
    <t>As a Product Owner, I want to prevent incident flows and automated insights from presenting diagnostic conclusions so that the application remains a support/evidence tool rather than a diagnostic system.</t>
  </si>
  <si>
    <t>prevent incident flows and automated insights from presenting diagnostic conclusions</t>
  </si>
  <si>
    <t>the application remains a support/evidence tool rather than a diagnostic system</t>
  </si>
  <si>
    <t>Authorised product owner can prevent incident flows and automated insights from presenting diagnostic conclusions; the expected result is persisted or returned; validation errors are clear; unauthorised access is denied.</t>
  </si>
  <si>
    <t>Behavioural Incident; AI Insight</t>
  </si>
  <si>
    <t>All incident/AI flows</t>
  </si>
  <si>
    <t>Special category data</t>
  </si>
  <si>
    <t>Content guardrails</t>
  </si>
  <si>
    <t>Review evidence</t>
  </si>
  <si>
    <t>Product boundary</t>
  </si>
  <si>
    <t>US-112</t>
  </si>
  <si>
    <t>E10</t>
  </si>
  <si>
    <t>Strategies, Interventions &amp; Follow-Up Actions</t>
  </si>
  <si>
    <t>Log strategy use</t>
  </si>
  <si>
    <t>As a Teacher, I want to record that a defined support strategy was used during an event so that strategy effectiveness can be evaluated from real use.</t>
  </si>
  <si>
    <t>record that a defined support strategy was used during an event</t>
  </si>
  <si>
    <t>strategy effectiveness can be evaluated from real use</t>
  </si>
  <si>
    <t>Authorised teacher can record that a defined support strategy was used during an event; the expected result is persisted or returned; validation errors are clear; unauthorised access is denied.</t>
  </si>
  <si>
    <t>Strategy Use; Support Strategy; Child Event</t>
  </si>
  <si>
    <t>Event intervention</t>
  </si>
  <si>
    <t>Strategy usage report</t>
  </si>
  <si>
    <t>US-113</t>
  </si>
  <si>
    <t>Effectiveness rating</t>
  </si>
  <si>
    <t>As a Teacher, I want to rate the immediate observed effectiveness of a strategy so that future support decisions can use accumulated evidence.</t>
  </si>
  <si>
    <t>rate the immediate observed effectiveness of a strategy</t>
  </si>
  <si>
    <t>future support decisions can use accumulated evidence</t>
  </si>
  <si>
    <t>Authorised teacher can rate the immediate observed effectiveness of a strategy; the expected result is persisted or returned; validation errors are clear; unauthorised access is denied.</t>
  </si>
  <si>
    <t>Strategy Use</t>
  </si>
  <si>
    <t>After intervention</t>
  </si>
  <si>
    <t>Effectiveness trend</t>
  </si>
  <si>
    <t>US-114</t>
  </si>
  <si>
    <t>Recommend again</t>
  </si>
  <si>
    <t>As a Teacher, I want to indicate whether a strategy should be tried again so that successful practical support can be promoted to the child's profile.</t>
  </si>
  <si>
    <t>indicate whether a strategy should be tried again</t>
  </si>
  <si>
    <t>successful practical support can be promoted to the child's profile</t>
  </si>
  <si>
    <t>Authorised teacher can indicate whether a strategy should be tried again; the expected result is persisted or returned; validation errors are clear; unauthorised access is denied.</t>
  </si>
  <si>
    <t>Strategy Use; Child Support Strategy</t>
  </si>
  <si>
    <t>Recommendation count</t>
  </si>
  <si>
    <t>US-115</t>
  </si>
  <si>
    <t>Create follow-up</t>
  </si>
  <si>
    <t>As a Teacher, I want to create a follow-up action from an event so that important next steps have an owner and due date.</t>
  </si>
  <si>
    <t>create a follow-up action from an event</t>
  </si>
  <si>
    <t>important next steps have an owner and due date</t>
  </si>
  <si>
    <t>Authorised teacher can create a follow-up action from an event; the expected result is persisted or returned; validation errors are clear; unauthorised access is denied.</t>
  </si>
  <si>
    <t>Follow-Up Action; Child Event</t>
  </si>
  <si>
    <t>Event review</t>
  </si>
  <si>
    <t>Open-action report</t>
  </si>
  <si>
    <t>US-116</t>
  </si>
  <si>
    <t>Assign action owner</t>
  </si>
  <si>
    <t>As a SENCO / SENDCo, I want to assign a follow-up action to an entitled staff member so that responsibility is explicit rather than implied.</t>
  </si>
  <si>
    <t>assign a follow-up action to an entitled staff member</t>
  </si>
  <si>
    <t>responsibility is explicit rather than implied</t>
  </si>
  <si>
    <t>Authorised senco / sendco can assign a follow-up action to an entitled staff member; the expected result is persisted or returned; validation errors are clear; unauthorised access is denied.</t>
  </si>
  <si>
    <t>Follow-Up Action; Staff School Assignment</t>
  </si>
  <si>
    <t>Action creation</t>
  </si>
  <si>
    <t>Assignment validation</t>
  </si>
  <si>
    <t>Owner/action report</t>
  </si>
  <si>
    <t>US-117</t>
  </si>
  <si>
    <t>Due date and reminders</t>
  </si>
  <si>
    <t>Action Owner</t>
  </si>
  <si>
    <t>As an action owner, I want to receive reminders for upcoming and overdue actions so that agreed support work is less likely to be missed.</t>
  </si>
  <si>
    <t>receive reminders for upcoming and overdue actions</t>
  </si>
  <si>
    <t>agreed support work is less likely to be missed</t>
  </si>
  <si>
    <t>Authorised action owner can receive reminders for upcoming and overdue actions; the expected result is persisted or returned; validation errors are clear; unauthorised access is denied.</t>
  </si>
  <si>
    <t>Follow-Up Action</t>
  </si>
  <si>
    <t>Owner/role access</t>
  </si>
  <si>
    <t>Overdue report</t>
  </si>
  <si>
    <t>US-118</t>
  </si>
  <si>
    <t>Close action with outcome</t>
  </si>
  <si>
    <t>As an action owner, I want to record completion and outcome before closing an action so that the timeline records what was actually done.</t>
  </si>
  <si>
    <t>record completion and outcome before closing an action</t>
  </si>
  <si>
    <t>the timeline records what was actually done</t>
  </si>
  <si>
    <t>Authorised action owner can record completion and outcome before closing an action; the expected result is persisted or returned; validation errors are clear; unauthorised access is denied.</t>
  </si>
  <si>
    <t>Action close</t>
  </si>
  <si>
    <t>Owner/privileged close</t>
  </si>
  <si>
    <t>Completion audit</t>
  </si>
  <si>
    <t>Action model</t>
  </si>
  <si>
    <t>US-119</t>
  </si>
  <si>
    <t>Escalate overdue action</t>
  </si>
  <si>
    <t>As a SENCO / SENDCo, I want to escalate materially overdue actions according to configured rules so that high-impact support tasks do not silently remain unresolved.</t>
  </si>
  <si>
    <t>escalate materially overdue actions according to configured rules</t>
  </si>
  <si>
    <t>high-impact support tasks do not silently remain unresolved</t>
  </si>
  <si>
    <t>Authorised senco / sendco can escalate materially overdue actions according to configured rules; the expected result is persisted or returned; validation errors are clear; unauthorised access is denied.</t>
  </si>
  <si>
    <t>Overdue threshold</t>
  </si>
  <si>
    <t>Role-scoped escalation</t>
  </si>
  <si>
    <t>Escalation report</t>
  </si>
  <si>
    <t>US-120</t>
  </si>
  <si>
    <t>Intervention trend</t>
  </si>
  <si>
    <t>As a SENCO / SENDCo, I want to compare strategy usage and outcomes over 7, 14, 30 and 90 days so that support planning can distinguish repeated success from isolated anecdotes.</t>
  </si>
  <si>
    <t>compare strategy usage and outcomes over 7, 14, 30 and 90 days</t>
  </si>
  <si>
    <t>support planning can distinguish repeated success from isolated anecdotes</t>
  </si>
  <si>
    <t>Authorised senco / sendco can compare strategy usage and outcomes over 7, 14, 30 and 90 days; the expected result is persisted or returned; validation errors are clear; unauthorised access is denied.</t>
  </si>
  <si>
    <t>Strategy Use; Observation; Behavioural Incident</t>
  </si>
  <si>
    <t>Report run</t>
  </si>
  <si>
    <t>Entitled aggregate view</t>
  </si>
  <si>
    <t>Sufficient data quality</t>
  </si>
  <si>
    <t>US-121</t>
  </si>
  <si>
    <t>Promote proven strategy</t>
  </si>
  <si>
    <t>As a SENCO / SENDCo, I want to update the child's support strategy based on reviewed intervention evidence so that effective approaches become part of current guidance.</t>
  </si>
  <si>
    <t>update the child's support strategy based on reviewed intervention evidence</t>
  </si>
  <si>
    <t>effective approaches become part of current guidance</t>
  </si>
  <si>
    <t>Authorised senco / sendco can update the child's support strategy based on reviewed intervention evidence; the expected result is persisted or returned; validation errors are clear; unauthorised access is denied.</t>
  </si>
  <si>
    <t>Child Support Strategy; Strategy Use</t>
  </si>
  <si>
    <t>Human review</t>
  </si>
  <si>
    <t>SEND edit</t>
  </si>
  <si>
    <t>Change rationale</t>
  </si>
  <si>
    <t>Strategy analytics</t>
  </si>
  <si>
    <t>US-122</t>
  </si>
  <si>
    <t>E11</t>
  </si>
  <si>
    <t>Messaging, Communications &amp; Notifications</t>
  </si>
  <si>
    <t>Child-scoped thread</t>
  </si>
  <si>
    <t>As a Parent / Guardian, I want to start or participate in a child-scoped communication thread with permitted school staff so that communication stays connected to the child and its purpose.</t>
  </si>
  <si>
    <t>start or participate in a child-scoped communication thread with permitted school staff</t>
  </si>
  <si>
    <t>communication stays connected to the child and its purpose</t>
  </si>
  <si>
    <t>Authorised parent / guardian can start or participate in a child-scoped communication thread with permitted school staff; the expected result is persisted or returned; validation errors are clear; unauthorised access is denied.</t>
  </si>
  <si>
    <t>Communication Thread; Message</t>
  </si>
  <si>
    <t>Message</t>
  </si>
  <si>
    <t>Participant/child entitlement</t>
  </si>
  <si>
    <t>Message audit</t>
  </si>
  <si>
    <t>Messaging feature</t>
  </si>
  <si>
    <t>US-123</t>
  </si>
  <si>
    <t>Staff reply</t>
  </si>
  <si>
    <t>As a Teacher, I want to reply to a permitted guardian or school thread so that important questions can be answered without moving to uncontrolled personal messaging.</t>
  </si>
  <si>
    <t>reply to a permitted guardian or school thread</t>
  </si>
  <si>
    <t>important questions can be answered without moving to uncontrolled personal messaging</t>
  </si>
  <si>
    <t>Authorised teacher can reply to a permitted guardian or school thread; the expected result is persisted or returned; validation errors are clear; unauthorised access is denied.</t>
  </si>
  <si>
    <t>Message; Communication Thread</t>
  </si>
  <si>
    <t>Thread participant access</t>
  </si>
  <si>
    <t>US-124</t>
  </si>
  <si>
    <t>Message priority</t>
  </si>
  <si>
    <t>Sender</t>
  </si>
  <si>
    <t>As a Sender, I want to mark a communication as informational, important or urgent so that recipients can triage without every message appearing equally critical.</t>
  </si>
  <si>
    <t>mark a communication as informational, important or urgent</t>
  </si>
  <si>
    <t>recipients can triage without every message appearing equally critical</t>
  </si>
  <si>
    <t>Authorised sender can mark a communication as informational, important or urgent; the expected result is persisted or returned; validation errors are clear; unauthorised access is denied.</t>
  </si>
  <si>
    <t>Entitled sender</t>
  </si>
  <si>
    <t>Priority counts</t>
  </si>
  <si>
    <t>US-125</t>
  </si>
  <si>
    <t>Read acknowledgement</t>
  </si>
  <si>
    <t>As a Sender, I want to request or view acknowledgement for selected important communications so that I can know whether operationally important information was received.</t>
  </si>
  <si>
    <t>request or view acknowledgement for selected important communications</t>
  </si>
  <si>
    <t>I can know whether operationally important information was received</t>
  </si>
  <si>
    <t>Authorised sender can request or view acknowledgement for selected important communications; the expected result is persisted or returned; validation errors are clear; unauthorised access is denied.</t>
  </si>
  <si>
    <t>Read/acknowledge</t>
  </si>
  <si>
    <t>Participants only</t>
  </si>
  <si>
    <t>US-126</t>
  </si>
  <si>
    <t>As an authenticated user, I want to choose permitted notification channels and categories so that I receive useful alerts without unnecessary interruption.</t>
  </si>
  <si>
    <t>choose permitted notification channels and categories</t>
  </si>
  <si>
    <t>I receive useful alerts without unnecessary interruption</t>
  </si>
  <si>
    <t>Authorised all users can choose permitted notification channels and categories; the expected result is persisted or returned; validation errors are clear; unauthorised access is denied.</t>
  </si>
  <si>
    <t>User Notification Preference</t>
  </si>
  <si>
    <t>Preference change</t>
  </si>
  <si>
    <t>Self-service</t>
  </si>
  <si>
    <t>Preference audit</t>
  </si>
  <si>
    <t>Notification engine</t>
  </si>
  <si>
    <t>US-127</t>
  </si>
  <si>
    <t>Quiet hours</t>
  </si>
  <si>
    <t>As an authenticated user, I want to configure quiet hours for non-urgent notifications so that the app does not create unnecessary out-of-hours pressure.</t>
  </si>
  <si>
    <t>configure quiet hours for non-urgent notifications</t>
  </si>
  <si>
    <t>the app does not create unnecessary out-of-hours pressure</t>
  </si>
  <si>
    <t>Authorised all users can configure quiet hours for non-urgent notifications; the expected result is persisted or returned; validation errors are clear; unauthorised access is denied.</t>
  </si>
  <si>
    <t>Delivery logs</t>
  </si>
  <si>
    <t>US-128</t>
  </si>
  <si>
    <t>Push notification</t>
  </si>
  <si>
    <t>As a Teacher, I want to receive push alerts for important assigned-pupil events so that I can respond promptly without constantly checking the app.</t>
  </si>
  <si>
    <t>receive push alerts for important assigned-pupil events</t>
  </si>
  <si>
    <t>I can respond promptly without constantly checking the app</t>
  </si>
  <si>
    <t>Authorised teacher can receive push alerts for important assigned-pupil events; the expected result is persisted or returned; validation errors are clear; unauthorised access is denied.</t>
  </si>
  <si>
    <t>Message; Child Event; Follow-Up Action</t>
  </si>
  <si>
    <t>Event/message trigger</t>
  </si>
  <si>
    <t>Sensitive metadata</t>
  </si>
  <si>
    <t>No sensitive content on lock screen by default</t>
  </si>
  <si>
    <t>Delivery audit</t>
  </si>
  <si>
    <t>Native mobile app</t>
  </si>
  <si>
    <t>US-129</t>
  </si>
  <si>
    <t>Email notification</t>
  </si>
  <si>
    <t>Email</t>
  </si>
  <si>
    <t>As a Parent / Guardian, I want to receive an email prompt that new information is available without exposing sensitive detail in email so that I know to open the secure application.</t>
  </si>
  <si>
    <t>receive an email prompt that new information is available without exposing sensitive detail in email</t>
  </si>
  <si>
    <t>I know to open the secure application</t>
  </si>
  <si>
    <t>Authorised parent / guardian can receive an email prompt that new information is available without exposing sensitive detail in email; the expected result is persisted or returned; validation errors are clear; unauthorised access is denied.</t>
  </si>
  <si>
    <t>Message; User</t>
  </si>
  <si>
    <t>Minimal content; secure link</t>
  </si>
  <si>
    <t>Email service</t>
  </si>
  <si>
    <t>US-130</t>
  </si>
  <si>
    <t>Attachment in message</t>
  </si>
  <si>
    <t>As a Parent / Guardian, I want to attach a permitted file to a thread when needed so that supporting information can be shared in context.</t>
  </si>
  <si>
    <t>attach a permitted file to a thread when needed</t>
  </si>
  <si>
    <t>supporting information can be shared in context</t>
  </si>
  <si>
    <t>Authorised parent / guardian can attach a permitted file to a thread when needed; the expected result is persisted or returned; validation errors are clear; unauthorised access is denied.</t>
  </si>
  <si>
    <t>Message; File; Child Document</t>
  </si>
  <si>
    <t>Upload</t>
  </si>
  <si>
    <t>Potentially sensitive</t>
  </si>
  <si>
    <t>Virus/type/size controls; entitlement</t>
  </si>
  <si>
    <t>US-131</t>
  </si>
  <si>
    <t>Message search</t>
  </si>
  <si>
    <t>As a SENCO / SENDCo, I want to search entitled messages by child, date and subject so that past communication can be found for review without browsing every thread.</t>
  </si>
  <si>
    <t>search entitled messages by child, date and subject</t>
  </si>
  <si>
    <t>past communication can be found for review without browsing every thread</t>
  </si>
  <si>
    <t>Authorised senco / sendco can search entitled messages by child, date and subject; the expected result is persisted or returned; validation errors are clear; unauthorised access is denied.</t>
  </si>
  <si>
    <t>Search audit where required</t>
  </si>
  <si>
    <t>Messaging data</t>
  </si>
  <si>
    <t>US-132</t>
  </si>
  <si>
    <t>Message retention</t>
  </si>
  <si>
    <t>As a DPO / Information Governance, I want to apply retention rules to communications consistently so that messaging does not become an uncontrolled indefinite archive.</t>
  </si>
  <si>
    <t>apply retention rules to communications consistently</t>
  </si>
  <si>
    <t>messaging does not become an uncontrolled indefinite archive</t>
  </si>
  <si>
    <t>Authorised dpo / information governance can apply retention rules to communications consistently; the expected result is persisted or returned; validation errors are clear; unauthorised access is denied.</t>
  </si>
  <si>
    <t>Retention job</t>
  </si>
  <si>
    <t>Policy-driven deletion/hold</t>
  </si>
  <si>
    <t>Retention report</t>
  </si>
  <si>
    <t>Retention engine</t>
  </si>
  <si>
    <t>US-133</t>
  </si>
  <si>
    <t>No WhatsApp replacement behaviour</t>
  </si>
  <si>
    <t>As a Product Owner, I want to constrain messaging to purposeful child-support communication rather than open social chat so that the product remains operational, auditable and manageable.</t>
  </si>
  <si>
    <t>constrain messaging to purposeful child-support communication rather than open social chat</t>
  </si>
  <si>
    <t>the product remains operational, auditable and manageable</t>
  </si>
  <si>
    <t>Authorised product owner can constrain messaging to purposeful child-support communication rather than open social chat; the expected result is persisted or returned; validation errors are clear; unauthorised access is denied.</t>
  </si>
  <si>
    <t>Messaging UX</t>
  </si>
  <si>
    <t>Scope/UX controls</t>
  </si>
  <si>
    <t>Usage analytics</t>
  </si>
  <si>
    <t>US-134</t>
  </si>
  <si>
    <t>E12</t>
  </si>
  <si>
    <t>Plans, EHCP, Evidence &amp; Documents</t>
  </si>
  <si>
    <t>Child plan</t>
  </si>
  <si>
    <t>As a SENCO / SENDCo, I want to create and maintain a versioned child support plan so that agreed support outcomes and guidance are captured in one governed place.</t>
  </si>
  <si>
    <t>create and maintain a versioned child support plan</t>
  </si>
  <si>
    <t>agreed support outcomes and guidance are captured in one governed place</t>
  </si>
  <si>
    <t>Authorised senco / sendco can create and maintain a versioned child support plan; the expected result is persisted or returned; validation errors are clear; unauthorised access is denied.</t>
  </si>
  <si>
    <t>Child Plan</t>
  </si>
  <si>
    <t>Plan lifecycle</t>
  </si>
  <si>
    <t>SEND edit; scoped view</t>
  </si>
  <si>
    <t>US-135</t>
  </si>
  <si>
    <t>Plan outcomes</t>
  </si>
  <si>
    <t>As a SENCO / SENDCo, I want to record measurable outcomes or targets against a plan so that reviews can evaluate progress against agreed aims.</t>
  </si>
  <si>
    <t>record measurable outcomes or targets against a plan</t>
  </si>
  <si>
    <t>reviews can evaluate progress against agreed aims</t>
  </si>
  <si>
    <t>Authorised senco / sendco can record measurable outcomes or targets against a plan; the expected result is persisted or returned; validation errors are clear; unauthorised access is denied.</t>
  </si>
  <si>
    <t>Plan Outcome; Child Plan</t>
  </si>
  <si>
    <t>Plan update</t>
  </si>
  <si>
    <t>Outcome status report</t>
  </si>
  <si>
    <t>US-136</t>
  </si>
  <si>
    <t>EHCP review</t>
  </si>
  <si>
    <t>As a SENCO / SENDCo, I want to create and track EHCP review dates, notes and decisions so that review obligations and evidence are not managed in disconnected spreadsheets.</t>
  </si>
  <si>
    <t>create and track EHCP review dates, notes and decisions</t>
  </si>
  <si>
    <t>review obligations and evidence are not managed in disconnected spreadsheets</t>
  </si>
  <si>
    <t>Authorised senco / sendco can create and track EHCP review dates, notes and decisions; the expected result is persisted or returned; validation errors are clear; unauthorised access is denied.</t>
  </si>
  <si>
    <t>EHCP Review</t>
  </si>
  <si>
    <t>Review lifecycle</t>
  </si>
  <si>
    <t>Special category / education support</t>
  </si>
  <si>
    <t>Restricted roles</t>
  </si>
  <si>
    <t>Review calendar/audit</t>
  </si>
  <si>
    <t>US-137</t>
  </si>
  <si>
    <t>Review reminders</t>
  </si>
  <si>
    <t>As a SENCO / SENDCo, I want to receive reminders before planned review dates so that important reviews are prepared in time.</t>
  </si>
  <si>
    <t>receive reminders before planned review dates</t>
  </si>
  <si>
    <t>important reviews are prepared in time</t>
  </si>
  <si>
    <t>Authorised senco / sendco can receive reminders before planned review dates; the expected result is persisted or returned; validation errors are clear; unauthorised access is denied.</t>
  </si>
  <si>
    <t>EHCP Review; Follow-Up Action</t>
  </si>
  <si>
    <t>Due-date report</t>
  </si>
  <si>
    <t>US-138</t>
  </si>
  <si>
    <t>Evidence link</t>
  </si>
  <si>
    <t>As a SENCO / SENDCo, I want to link relevant events and documents into an evidence pack so that review evidence is traceable to its original source.</t>
  </si>
  <si>
    <t>link relevant events and documents into an evidence pack</t>
  </si>
  <si>
    <t>review evidence is traceable to its original source</t>
  </si>
  <si>
    <t>Authorised senco / sendco can link relevant events and documents into an evidence pack; the expected result is persisted or returned; validation errors are clear; unauthorised access is denied.</t>
  </si>
  <si>
    <t>Evidence Link; Child Event; Child Document</t>
  </si>
  <si>
    <t>Evidence selection</t>
  </si>
  <si>
    <t>Entitled review</t>
  </si>
  <si>
    <t>Evidence pack audit</t>
  </si>
  <si>
    <t>Timeline/documents</t>
  </si>
  <si>
    <t>US-139</t>
  </si>
  <si>
    <t>Evidence pack export</t>
  </si>
  <si>
    <t>As a SENCO / SENDCo, I want to generate a date-bounded evidence pack for an authorised meeting so that families and professionals can review coherent evidence without manual compilation.</t>
  </si>
  <si>
    <t>generate a date-bounded evidence pack for an authorised meeting</t>
  </si>
  <si>
    <t>families and professionals can review coherent evidence without manual compilation</t>
  </si>
  <si>
    <t>Authorised senco / sendco can generate a date-bounded evidence pack for an authorised meeting; the expected result is persisted or returned; validation errors are clear; unauthorised access is denied.</t>
  </si>
  <si>
    <t>Evidence Link; EHCP Review; Child Event</t>
  </si>
  <si>
    <t>Consent/purpose-aware export; watermark</t>
  </si>
  <si>
    <t>Reporting engine</t>
  </si>
  <si>
    <t>US-140</t>
  </si>
  <si>
    <t>Parent meeting report</t>
  </si>
  <si>
    <t>As a Parent / Guardian, I want to download an authorised summary for a healthcare or support meeting so that I can take a coherent record to external discussions.</t>
  </si>
  <si>
    <t>download an authorised summary for a healthcare or support meeting</t>
  </si>
  <si>
    <t>I can take a coherent record to external discussions</t>
  </si>
  <si>
    <t>Authorised parent / guardian can download an authorised summary for a healthcare or support meeting; the expected result is persisted or returned; validation errors are clear; unauthorised access is denied.</t>
  </si>
  <si>
    <t>Child Event; Child Plan; Child Document</t>
  </si>
  <si>
    <t>Guardian entitlement; consent-aware scope</t>
  </si>
  <si>
    <t>US-141</t>
  </si>
  <si>
    <t>Child document upload</t>
  </si>
  <si>
    <t>As a SENCO / SENDCo, I want to upload child-scoped documents with title, type and visibility so that important evidence and plans can be governed rather than stored informally.</t>
  </si>
  <si>
    <t>upload child-scoped documents with title, type and visibility</t>
  </si>
  <si>
    <t>important evidence and plans can be governed rather than stored informally</t>
  </si>
  <si>
    <t>Authorised senco / sendco can upload child-scoped documents with title, type and visibility; the expected result is persisted or returned; validation errors are clear; unauthorised access is denied.</t>
  </si>
  <si>
    <t>Child Document; File</t>
  </si>
  <si>
    <t>File controls; field-level visibility</t>
  </si>
  <si>
    <t>Upload/access audit</t>
  </si>
  <si>
    <t>US-142</t>
  </si>
  <si>
    <t>Document classification</t>
  </si>
  <si>
    <t>As a DPO / Information Governance, I want to classify child documents by sensitivity and permitted use so that document access and AI eligibility can follow policy.</t>
  </si>
  <si>
    <t>classify child documents by sensitivity and permitted use</t>
  </si>
  <si>
    <t>document access and AI eligibility can follow policy</t>
  </si>
  <si>
    <t>Authorised dpo / information governance can classify child documents by sensitivity and permitted use; the expected result is persisted or returned; validation errors are clear; unauthorised access is denied.</t>
  </si>
  <si>
    <t>Child Document</t>
  </si>
  <si>
    <t>Upload/update</t>
  </si>
  <si>
    <t>Sensitive/highly restricted</t>
  </si>
  <si>
    <t>Classification-driven entitlement</t>
  </si>
  <si>
    <t>Classification audit</t>
  </si>
  <si>
    <t>US-143</t>
  </si>
  <si>
    <t>Document versioning</t>
  </si>
  <si>
    <t>As a SENCO / SENDCo, I want to retain versions of replaced support documents so that reviewers can see what guidance was in force at a given time.</t>
  </si>
  <si>
    <t>retain versions of replaced support documents</t>
  </si>
  <si>
    <t>reviewers can see what guidance was in force at a given time</t>
  </si>
  <si>
    <t>Authorised senco / sendco can retain versions of replaced support documents; the expected result is persisted or returned; validation errors are clear; unauthorised access is denied.</t>
  </si>
  <si>
    <t>Replace document</t>
  </si>
  <si>
    <t>Entitled access</t>
  </si>
  <si>
    <t>US-144</t>
  </si>
  <si>
    <t>RAG eligibility</t>
  </si>
  <si>
    <t>As a DPO / Information Governance, I want to mark whether a child document is eligible for AI/RAG use so that AI retrieval cannot silently consume every uploaded document.</t>
  </si>
  <si>
    <t>mark whether a child document is eligible for AI/RAG use</t>
  </si>
  <si>
    <t>AI retrieval cannot silently consume every uploaded document</t>
  </si>
  <si>
    <t>Authorised dpo / information governance can mark whether a child document is eligible for AI/RAG use; the expected result is persisted or returned; validation errors are clear; unauthorised access is denied.</t>
  </si>
  <si>
    <t>AI phase</t>
  </si>
  <si>
    <t>Child Document; RAG Source Document</t>
  </si>
  <si>
    <t>Purpose/consent check</t>
  </si>
  <si>
    <t>AI source audit</t>
  </si>
  <si>
    <t>Consent/privacy model</t>
  </si>
  <si>
    <t>US-145</t>
  </si>
  <si>
    <t>Meeting notes</t>
  </si>
  <si>
    <t>As a SENCO / SENDCo, I want to record meeting notes and decisions against a review so that agreed decisions are tied to the correct plan/review context.</t>
  </si>
  <si>
    <t>record meeting notes and decisions against a review</t>
  </si>
  <si>
    <t>agreed decisions are tied to the correct plan/review context</t>
  </si>
  <si>
    <t>Authorised senco / sendco can record meeting notes and decisions against a review; the expected result is persisted or returned; validation errors are clear; unauthorised access is denied.</t>
  </si>
  <si>
    <t>EHCP Review; Child Plan</t>
  </si>
  <si>
    <t>Meeting completion</t>
  </si>
  <si>
    <t>Review audit</t>
  </si>
  <si>
    <t>Review workflow</t>
  </si>
  <si>
    <t>US-146</t>
  </si>
  <si>
    <t>Plan approval</t>
  </si>
  <si>
    <t>As a SENCO / SENDCo, I want to move a draft plan through review and approved states so that users can distinguish working content from agreed support guidance.</t>
  </si>
  <si>
    <t>move a draft plan through review and approved states</t>
  </si>
  <si>
    <t>users can distinguish working content from agreed support guidance</t>
  </si>
  <si>
    <t>Authorised senco / sendco can move a draft plan through review and approved states; the expected result is persisted or returned; validation errors are clear; unauthorised access is denied.</t>
  </si>
  <si>
    <t>Approval workflow</t>
  </si>
  <si>
    <t>Role-based state transitions</t>
  </si>
  <si>
    <t>Approval history</t>
  </si>
  <si>
    <t>US-147</t>
  </si>
  <si>
    <t>Evidence completeness</t>
  </si>
  <si>
    <t>As a SENCO / SENDCo, I want to see whether a review has sufficient current evidence categories so that I can address obvious evidence gaps before the meeting.</t>
  </si>
  <si>
    <t>see whether a review has sufficient current evidence categories</t>
  </si>
  <si>
    <t>I can address obvious evidence gaps before the meeting</t>
  </si>
  <si>
    <t>Authorised senco / sendco can see whether a review has sufficient current evidence categories; the expected result is persisted or returned; validation errors are clear; unauthorised access is denied.</t>
  </si>
  <si>
    <t>Evidence Link; EHCP Review</t>
  </si>
  <si>
    <t>Review preparation</t>
  </si>
  <si>
    <t>Completeness dashboard</t>
  </si>
  <si>
    <t>Evidence model</t>
  </si>
  <si>
    <t>US-148</t>
  </si>
  <si>
    <t>E13</t>
  </si>
  <si>
    <t>Privacy, Consent, Retention &amp; Data Subject Rights</t>
  </si>
  <si>
    <t>Purpose-specific consent</t>
  </si>
  <si>
    <t>As a DPO / Information Governance, I want to record consent or authorisation by purpose, version, subject and date so that processing decisions can be evidenced rather than assumed.</t>
  </si>
  <si>
    <t>record consent or authorisation by purpose, version, subject and date</t>
  </si>
  <si>
    <t>processing decisions can be evidenced rather than assumed</t>
  </si>
  <si>
    <t>Authorised dpo / information governance can record consent or authorisation by purpose, version, subject and date; the expected result is persisted or returned; validation errors are clear; unauthorised access is denied.</t>
  </si>
  <si>
    <t>Consent Record</t>
  </si>
  <si>
    <t>Consent capture</t>
  </si>
  <si>
    <t>Special category / child data</t>
  </si>
  <si>
    <t>Restricted governance edit</t>
  </si>
  <si>
    <t>Consent audit</t>
  </si>
  <si>
    <t>US-149</t>
  </si>
  <si>
    <t>Lawful basis record</t>
  </si>
  <si>
    <t>As a DPO / Information Governance, I want to record the lawful basis or authority for each major processing purpose so that the platform does not incorrectly treat all school processing as consent-based.</t>
  </si>
  <si>
    <t>record the lawful basis or authority for each major processing purpose</t>
  </si>
  <si>
    <t>the platform does not incorrectly treat all school processing as consent-based</t>
  </si>
  <si>
    <t>Authorised dpo / information governance can record the lawful basis or authority for each major processing purpose; the expected result is persisted or returned; validation errors are clear; unauthorised access is denied.</t>
  </si>
  <si>
    <t>Consent Record; Data Processing Purpose</t>
  </si>
  <si>
    <t>Governance setup</t>
  </si>
  <si>
    <t>Governance access</t>
  </si>
  <si>
    <t>Processing register</t>
  </si>
  <si>
    <t>DPIA</t>
  </si>
  <si>
    <t>US-150</t>
  </si>
  <si>
    <t>Privacy notice version</t>
  </si>
  <si>
    <t>As a Parent / Guardian, I want to see the applicable privacy notice and acknowledge material updates so that I understand how the child's data is being used.</t>
  </si>
  <si>
    <t>see the applicable privacy notice and acknowledge material updates</t>
  </si>
  <si>
    <t>I understand how the child's data is being used</t>
  </si>
  <si>
    <t>Authorised parent / guardian can see the applicable privacy notice and acknowledge material updates; the expected result is persisted or returned; validation errors are clear; unauthorised access is denied.</t>
  </si>
  <si>
    <t>Notice publication</t>
  </si>
  <si>
    <t>Authenticated delivery</t>
  </si>
  <si>
    <t>Acknowledgement history</t>
  </si>
  <si>
    <t>Privacy content</t>
  </si>
  <si>
    <t>US-151</t>
  </si>
  <si>
    <t>Consent withdrawal</t>
  </si>
  <si>
    <t>As a Parent / Guardian, I want to withdraw optional consent where consent is the lawful basis so that optional processing stops without affecting unrelated core support.</t>
  </si>
  <si>
    <t>withdraw optional consent where consent is the lawful basis</t>
  </si>
  <si>
    <t>optional processing stops without affecting unrelated core support</t>
  </si>
  <si>
    <t>Authorised parent / guardian can withdraw optional consent where consent is the lawful basis; the expected result is persisted or returned; validation errors are clear; unauthorised access is denied.</t>
  </si>
  <si>
    <t>Withdrawal</t>
  </si>
  <si>
    <t>Verified adult; purpose-scoped</t>
  </si>
  <si>
    <t>Withdrawal audit</t>
  </si>
  <si>
    <t>Consent model</t>
  </si>
  <si>
    <t>US-152</t>
  </si>
  <si>
    <t>Purpose limitation</t>
  </si>
  <si>
    <t>As a DPO / Information Governance, I want to prevent data collected for core support from automatically being reused for unrelated commercial or research purposes so that privacy commitments are enforced technically, not only in policy.</t>
  </si>
  <si>
    <t>prevent data collected for core support from automatically being reused for unrelated commercial or research purposes</t>
  </si>
  <si>
    <t>privacy commitments are enforced technically, not only in policy</t>
  </si>
  <si>
    <t>Authorised dpo / information governance can prevent data collected for core support from automatically being reused for unrelated commercial or research purposes; the expected result is persisted or returned; validation errors are clear; unauthorised access is denied.</t>
  </si>
  <si>
    <t>Consent Record; Child Document; AI/RAG objects</t>
  </si>
  <si>
    <t>Every processing action</t>
  </si>
  <si>
    <t>All sensitive data</t>
  </si>
  <si>
    <t>Purpose checks</t>
  </si>
  <si>
    <t>Processing audit</t>
  </si>
  <si>
    <t>US-153</t>
  </si>
  <si>
    <t>Data minimisation</t>
  </si>
  <si>
    <t>As a Product Owner, I want to collect only fields necessary for defined product purposes so that the product reduces unnecessary sensitive-data exposure.</t>
  </si>
  <si>
    <t>collect only fields necessary for defined product purposes</t>
  </si>
  <si>
    <t>the product reduces unnecessary sensitive-data exposure</t>
  </si>
  <si>
    <t>Authorised product owner can collect only fields necessary for defined product purposes; the expected result is persisted or returned; validation errors are clear; unauthorised access is denied.</t>
  </si>
  <si>
    <t>All objects</t>
  </si>
  <si>
    <t>Design / form capture</t>
  </si>
  <si>
    <t>Field governance</t>
  </si>
  <si>
    <t>Data inventory</t>
  </si>
  <si>
    <t>US-154</t>
  </si>
  <si>
    <t>Field classification</t>
  </si>
  <si>
    <t>As a DPO / Information Governance, I want to classify fields as public, internal, personal, sensitive or highly restricted so that permissions, exports and AI use can be governed consistently.</t>
  </si>
  <si>
    <t>classify fields as public, internal, personal, sensitive or highly restricted</t>
  </si>
  <si>
    <t>permissions, exports and AI use can be governed consistently</t>
  </si>
  <si>
    <t>Authorised dpo / information governance can classify fields as public, internal, personal, sensitive or highly restricted; the expected result is persisted or returned; validation errors are clear; unauthorised access is denied.</t>
  </si>
  <si>
    <t>Classification-driven control</t>
  </si>
  <si>
    <t>Classification register</t>
  </si>
  <si>
    <t>US-155</t>
  </si>
  <si>
    <t>Retention schedule</t>
  </si>
  <si>
    <t>As a DPO / Information Governance, I want to define retention rules by data category and processing purpose so that records are not retained indefinitely by default.</t>
  </si>
  <si>
    <t>define retention rules by data category and processing purpose</t>
  </si>
  <si>
    <t>records are not retained indefinitely by default</t>
  </si>
  <si>
    <t>Authorised dpo / information governance can define retention rules by data category and processing purpose; the expected result is persisted or returned; validation errors are clear; unauthorised access is denied.</t>
  </si>
  <si>
    <t>Policy-controlled purge/archive</t>
  </si>
  <si>
    <t>Legal/policy input</t>
  </si>
  <si>
    <t>US-156</t>
  </si>
  <si>
    <t>Retention execution</t>
  </si>
  <si>
    <t>As a Platform Administrator, I want to automatically identify records eligible for retention action so that policy can be operationalised at scale.</t>
  </si>
  <si>
    <t>automatically identify records eligible for retention action</t>
  </si>
  <si>
    <t>policy can be operationalised at scale</t>
  </si>
  <si>
    <t>Authorised platform administrator can automatically identify records eligible for retention action; the expected result is persisted or returned; validation errors are clear; unauthorised access is denied.</t>
  </si>
  <si>
    <t>Scheduled retention job</t>
  </si>
  <si>
    <t>Privileged controlled job</t>
  </si>
  <si>
    <t>Retention execution log</t>
  </si>
  <si>
    <t>US-157</t>
  </si>
  <si>
    <t>Legal hold</t>
  </si>
  <si>
    <t>As a DPO / Information Governance, I want to place defined records on legal or safeguarding hold so that required records are not deleted by routine retention jobs.</t>
  </si>
  <si>
    <t>place defined records on legal or safeguarding hold</t>
  </si>
  <si>
    <t>required records are not deleted by routine retention jobs</t>
  </si>
  <si>
    <t>Authorised dpo / information governance can place defined records on legal or safeguarding hold; the expected result is persisted or returned; validation errors are clear; unauthorised access is denied.</t>
  </si>
  <si>
    <t>All child records</t>
  </si>
  <si>
    <t>Hold creation</t>
  </si>
  <si>
    <t>Restricted governance control</t>
  </si>
  <si>
    <t>Hold audit</t>
  </si>
  <si>
    <t>US-158</t>
  </si>
  <si>
    <t>Data subject access export</t>
  </si>
  <si>
    <t>As a DPO / Information Governance, I want to generate a reviewable data subject access package so that access requests can be fulfilled accurately and consistently.</t>
  </si>
  <si>
    <t>generate a reviewable data subject access package</t>
  </si>
  <si>
    <t>access requests can be fulfilled accurately and consistently</t>
  </si>
  <si>
    <t>Authorised dpo / information governance can generate a reviewable data subject access package; the expected result is persisted or returned; validation errors are clear; unauthorised access is denied.</t>
  </si>
  <si>
    <t>All subject-linked objects</t>
  </si>
  <si>
    <t>DSAR workflow</t>
  </si>
  <si>
    <t>Personal/sensitive data</t>
  </si>
  <si>
    <t>Authorised governance export</t>
  </si>
  <si>
    <t>DSAR audit</t>
  </si>
  <si>
    <t>US-159</t>
  </si>
  <si>
    <t>Correction request</t>
  </si>
  <si>
    <t>As a Parent / Guardian, I want to request correction of inaccurate personal data so that data quality disputes have a transparent route to resolution.</t>
  </si>
  <si>
    <t>request correction of inaccurate personal data</t>
  </si>
  <si>
    <t>data quality disputes have a transparent route to resolution</t>
  </si>
  <si>
    <t>Authorised parent / guardian can request correction of inaccurate personal data; the expected result is persisted or returned; validation errors are clear; unauthorised access is denied.</t>
  </si>
  <si>
    <t>Child; Guardian; Child Event</t>
  </si>
  <si>
    <t>Correction workflow</t>
  </si>
  <si>
    <t>Verified subject relationship</t>
  </si>
  <si>
    <t>Correction audit</t>
  </si>
  <si>
    <t>Governance workflow</t>
  </si>
  <si>
    <t>US-160</t>
  </si>
  <si>
    <t>Deletion request</t>
  </si>
  <si>
    <t>As a DPO / Information Governance, I want to assess and execute deletion requests where legally permitted so that rights requests can be handled without deleting records that must be retained.</t>
  </si>
  <si>
    <t>assess and execute deletion requests where legally permitted</t>
  </si>
  <si>
    <t>rights requests can be handled without deleting records that must be retained</t>
  </si>
  <si>
    <t>Authorised dpo / information governance can assess and execute deletion requests where legally permitted; the expected result is persisted or returned; validation errors are clear; unauthorised access is denied.</t>
  </si>
  <si>
    <t>Deletion workflow</t>
  </si>
  <si>
    <t>Governance approval</t>
  </si>
  <si>
    <t>Deletion audit</t>
  </si>
  <si>
    <t>Retention/lawful basis</t>
  </si>
  <si>
    <t>US-161</t>
  </si>
  <si>
    <t>Privacy by default</t>
  </si>
  <si>
    <t>As a Product Owner, I want to default new features and fields to the narrowest reasonable visibility so that sensitive data is not exposed merely because configuration was omitted.</t>
  </si>
  <si>
    <t>default new features and fields to the narrowest reasonable visibility</t>
  </si>
  <si>
    <t>sensitive data is not exposed merely because configuration was omitted</t>
  </si>
  <si>
    <t>Authorised product owner can default new features and fields to the narrowest reasonable visibility; the expected result is persisted or returned; validation errors are clear; unauthorised access is denied.</t>
  </si>
  <si>
    <t>Feature design</t>
  </si>
  <si>
    <t>Default-deny</t>
  </si>
  <si>
    <t>Privacy review evidence</t>
  </si>
  <si>
    <t>US-162</t>
  </si>
  <si>
    <t>Research boundary</t>
  </si>
  <si>
    <t>Research / Analytics Partner</t>
  </si>
  <si>
    <t>Research</t>
  </si>
  <si>
    <t>Data Export</t>
  </si>
  <si>
    <t>As a Research / Analytics Partner, I want to receive only approved anonymised or sufficiently de-identified datasets so that research can proceed without routine access to operational identities.</t>
  </si>
  <si>
    <t>receive only approved anonymised or sufficiently de-identified datasets</t>
  </si>
  <si>
    <t>research can proceed without routine access to operational identities</t>
  </si>
  <si>
    <t>Authorised research / analytics partner can receive only approved anonymised or sufficiently de-identified datasets; the expected result is persisted or returned; validation errors are clear; unauthorised access is denied.</t>
  </si>
  <si>
    <t>Future</t>
  </si>
  <si>
    <t>Derived Research Dataset</t>
  </si>
  <si>
    <t>Research export</t>
  </si>
  <si>
    <t>De-identified data</t>
  </si>
  <si>
    <t>Separate entitlement and environment</t>
  </si>
  <si>
    <t>Cross-tenant aggregate</t>
  </si>
  <si>
    <t>Research export audit</t>
  </si>
  <si>
    <t>Ethics/privacy approval</t>
  </si>
  <si>
    <t>US-163</t>
  </si>
  <si>
    <t>Re-identification control</t>
  </si>
  <si>
    <t>As a DPO / Information Governance, I want to prevent research datasets from containing direct identifiers or obvious re-identification keys so that anonymised research use remains meaningfully separated from operations.</t>
  </si>
  <si>
    <t>prevent research datasets from containing direct identifiers or obvious re-identification keys</t>
  </si>
  <si>
    <t>anonymised research use remains meaningfully separated from operations</t>
  </si>
  <si>
    <t>Authorised dpo / information governance can prevent research datasets from containing direct identifiers or obvious re-identification keys; the expected result is persisted or returned; validation errors are clear; unauthorised access is denied.</t>
  </si>
  <si>
    <t>Research phase</t>
  </si>
  <si>
    <t>Transformation and review controls</t>
  </si>
  <si>
    <t>Privacy test evidence</t>
  </si>
  <si>
    <t>US-164</t>
  </si>
  <si>
    <t>Parent Plus purpose separation</t>
  </si>
  <si>
    <t>As a Parent / Guardian, I want to opt into Parent Plus separately from core school support so that commercial or careers features do not become a condition of core support.</t>
  </si>
  <si>
    <t>opt into Parent Plus separately from core school support</t>
  </si>
  <si>
    <t>commercial or careers features do not become a condition of core support</t>
  </si>
  <si>
    <t>Authorised parent / guardian can opt into Parent Plus separately from core school support; the expected result is persisted or returned; validation errors are clear; unauthorised access is denied.</t>
  </si>
  <si>
    <t>Parent Plus Subscription; Consent Record</t>
  </si>
  <si>
    <t>Subscription opt-in</t>
  </si>
  <si>
    <t>Child/guardian data</t>
  </si>
  <si>
    <t>Separate purpose and entitlement</t>
  </si>
  <si>
    <t>Consent/subscription audit</t>
  </si>
  <si>
    <t>Parent Plus</t>
  </si>
  <si>
    <t>US-165</t>
  </si>
  <si>
    <t>Data residency</t>
  </si>
  <si>
    <t>As a DPO / Information Governance, I want to know and govern the hosting region for production personal data so that school contracts and privacy assessments can document where data is stored.</t>
  </si>
  <si>
    <t>know and govern the hosting region for production personal data</t>
  </si>
  <si>
    <t>school contracts and privacy assessments can document where data is stored</t>
  </si>
  <si>
    <t>Authorised dpo / information governance can know and govern the hosting region for production personal data; the expected result is persisted or returned; validation errors are clear; unauthorised access is denied.</t>
  </si>
  <si>
    <t>Hosting configuration</t>
  </si>
  <si>
    <t>Region controls</t>
  </si>
  <si>
    <t>Hosting evidence</t>
  </si>
  <si>
    <t>Cloud provider</t>
  </si>
  <si>
    <t>US-166</t>
  </si>
  <si>
    <t>DPIA evidence</t>
  </si>
  <si>
    <t>As a DPO / Information Governance, I want to maintain architecture, flows, risks and mitigations needed for a DPIA so that pilot approval can be based on documented privacy controls.</t>
  </si>
  <si>
    <t>maintain architecture, flows, risks and mitigations needed for a DPIA</t>
  </si>
  <si>
    <t>pilot approval can be based on documented privacy controls</t>
  </si>
  <si>
    <t>Authorised dpo / information governance can maintain architecture, flows, risks and mitigations needed for a DPIA; the expected result is persisted or returned; validation errors are clear; unauthorised access is denied.</t>
  </si>
  <si>
    <t>Governance artefacts</t>
  </si>
  <si>
    <t>Governance review</t>
  </si>
  <si>
    <t>Governance control</t>
  </si>
  <si>
    <t>DPIA record</t>
  </si>
  <si>
    <t>Technical blueprint</t>
  </si>
  <si>
    <t>US-167</t>
  </si>
  <si>
    <t>E14</t>
  </si>
  <si>
    <t>Security, Audit &amp; Platform Protection</t>
  </si>
  <si>
    <t>TLS in transit</t>
  </si>
  <si>
    <t>As a Platform Administrator, I want to enforce HTTPS/TLS for all production traffic so that credentials and child data are protected in transit.</t>
  </si>
  <si>
    <t>enforce HTTPS/TLS for all production traffic</t>
  </si>
  <si>
    <t>credentials and child data are protected in transit</t>
  </si>
  <si>
    <t>Authorised platform administrator can enforce HTTPS/TLS for all production traffic; the expected result is persisted or returned; validation errors are clear; unauthorised access is denied.</t>
  </si>
  <si>
    <t>Every request</t>
  </si>
  <si>
    <t>TLS; HSTS</t>
  </si>
  <si>
    <t>Security scan</t>
  </si>
  <si>
    <t>Production hosting</t>
  </si>
  <si>
    <t>US-168</t>
  </si>
  <si>
    <t>Encryption at rest</t>
  </si>
  <si>
    <t>As a DPO / Information Governance, I want to encrypt production databases, backups and object storage at rest so that loss of storage media does not expose readable child data.</t>
  </si>
  <si>
    <t>encrypt production databases, backups and object storage at rest</t>
  </si>
  <si>
    <t>loss of storage media does not expose readable child data</t>
  </si>
  <si>
    <t>Authorised dpo / information governance can encrypt production databases, backups and object storage at rest; the expected result is persisted or returned; validation errors are clear; unauthorised access is denied.</t>
  </si>
  <si>
    <t>Database; File; Backup</t>
  </si>
  <si>
    <t>Storage</t>
  </si>
  <si>
    <t>Encryption at rest; key management</t>
  </si>
  <si>
    <t>Control evidence</t>
  </si>
  <si>
    <t>US-169</t>
  </si>
  <si>
    <t>View audit</t>
  </si>
  <si>
    <t>As an auditor / information governance reviewer, I want to audit access to highly sensitive records and documents so that unusual or inappropriate access can be investigated.</t>
  </si>
  <si>
    <t>audit access to highly sensitive records and documents</t>
  </si>
  <si>
    <t>unusual or inappropriate access can be investigated</t>
  </si>
  <si>
    <t>Authorised auditor / information governance can audit access to highly sensitive records and documents; the expected result is persisted or returned; validation errors are clear; unauthorised access is denied.</t>
  </si>
  <si>
    <t>Audit Log</t>
  </si>
  <si>
    <t>Record view</t>
  </si>
  <si>
    <t>Highly restricted data</t>
  </si>
  <si>
    <t>Immutable audit</t>
  </si>
  <si>
    <t>Access report</t>
  </si>
  <si>
    <t>US-170</t>
  </si>
  <si>
    <t>As an auditor / information governance reviewer, I want to audit creates, edits and deletions for sensitive records so that material changes can be reconstructed.</t>
  </si>
  <si>
    <t>audit creates, edits and deletions for sensitive records</t>
  </si>
  <si>
    <t>material changes can be reconstructed</t>
  </si>
  <si>
    <t>Authorised auditor / information governance can audit creates, edits and deletions for sensitive records; the expected result is persisted or returned; validation errors are clear; unauthorised access is denied.</t>
  </si>
  <si>
    <t>Version / Audit Log</t>
  </si>
  <si>
    <t>Data change</t>
  </si>
  <si>
    <t>Sensitive data</t>
  </si>
  <si>
    <t>Change report</t>
  </si>
  <si>
    <t>US-171</t>
  </si>
  <si>
    <t>As an auditor / information governance reviewer, I want to audit role and entitlement changes so that privilege escalation can be reviewed.</t>
  </si>
  <si>
    <t>audit role and entitlement changes</t>
  </si>
  <si>
    <t>privilege escalation can be reviewed</t>
  </si>
  <si>
    <t>Authorised auditor / information governance can audit role and entitlement changes; the expected result is persisted or returned; validation errors are clear; unauthorised access is denied.</t>
  </si>
  <si>
    <t>User; Role; Assignment</t>
  </si>
  <si>
    <t>Admin change</t>
  </si>
  <si>
    <t>Privilege report</t>
  </si>
  <si>
    <t>RBAC</t>
  </si>
  <si>
    <t>US-172</t>
  </si>
  <si>
    <t>As a DPO / Information Governance, I want to record who exported which child data, when and for what purpose so that data leaving the platform is traceable.</t>
  </si>
  <si>
    <t>record who exported which child data, when and for what purpose</t>
  </si>
  <si>
    <t>data leaving the platform is traceable</t>
  </si>
  <si>
    <t>Authorised dpo / information governance can record who exported which child data, when and for what purpose; the expected result is persisted or returned; validation errors are clear; unauthorised access is denied.</t>
  </si>
  <si>
    <t>Export Log</t>
  </si>
  <si>
    <t>Purpose capture; audit</t>
  </si>
  <si>
    <t>Export report</t>
  </si>
  <si>
    <t>US-173</t>
  </si>
  <si>
    <t>CSRF protection</t>
  </si>
  <si>
    <t>As a Platform Administrator, I want to protect state-changing web requests against cross-site request forgery so that authenticated users cannot be tricked into unwanted changes.</t>
  </si>
  <si>
    <t>protect state-changing web requests against cross-site request forgery</t>
  </si>
  <si>
    <t>authenticated users cannot be tricked into unwanted changes</t>
  </si>
  <si>
    <t>Authorised platform administrator can protect state-changing web requests against cross-site request forgery; the expected result is persisted or returned; validation errors are clear; unauthorised access is denied.</t>
  </si>
  <si>
    <t>Web application</t>
  </si>
  <si>
    <t>POST/PUT/DELETE</t>
  </si>
  <si>
    <t>CSRF token validation</t>
  </si>
  <si>
    <t>DAST evidence</t>
  </si>
  <si>
    <t>Frappe security config</t>
  </si>
  <si>
    <t>US-174</t>
  </si>
  <si>
    <t>Security headers</t>
  </si>
  <si>
    <t>As a Platform Administrator, I want to apply appropriate browser security headers so that common browser-based attacks are reduced.</t>
  </si>
  <si>
    <t>apply appropriate browser security headers</t>
  </si>
  <si>
    <t>common browser-based attacks are reduced</t>
  </si>
  <si>
    <t>Authorised platform administrator can apply appropriate browser security headers; the expected result is persisted or returned; validation errors are clear; unauthorised access is denied.</t>
  </si>
  <si>
    <t>Every response</t>
  </si>
  <si>
    <t>CSP/HSTS/frame protections as appropriate</t>
  </si>
  <si>
    <t>Reverse proxy/app config</t>
  </si>
  <si>
    <t>US-175</t>
  </si>
  <si>
    <t>Rate limiting</t>
  </si>
  <si>
    <t>API + Web</t>
  </si>
  <si>
    <t>As a Platform Administrator, I want to rate-limit authentication and abuse-prone endpoints so that automated abuse and brute force are constrained.</t>
  </si>
  <si>
    <t>rate-limit authentication and abuse-prone endpoints</t>
  </si>
  <si>
    <t>automated abuse and brute force are constrained</t>
  </si>
  <si>
    <t>Authorised platform administrator can rate-limit authentication and abuse-prone endpoints; the expected result is persisted or returned; validation errors are clear; unauthorised access is denied.</t>
  </si>
  <si>
    <t>Web/API</t>
  </si>
  <si>
    <t>Request threshold</t>
  </si>
  <si>
    <t>Rate limit</t>
  </si>
  <si>
    <t>App gateway</t>
  </si>
  <si>
    <t>US-176</t>
  </si>
  <si>
    <t>IDOR prevention</t>
  </si>
  <si>
    <t>Security Tester</t>
  </si>
  <si>
    <t>As a Security Tester, I want to verify every child-specific route and API applies entitlement checks so that changing an identifier cannot expose another pupil.</t>
  </si>
  <si>
    <t>verify every child-specific route and API applies entitlement checks</t>
  </si>
  <si>
    <t>changing an identifier cannot expose another pupil</t>
  </si>
  <si>
    <t>Authorised security tester can verify every child-specific route and API applies entitlement checks; the expected result is persisted or returned; validation errors are clear; unauthorised access is denied.</t>
  </si>
  <si>
    <t>All child-scoped objects</t>
  </si>
  <si>
    <t>Every object request</t>
  </si>
  <si>
    <t>Object-level authorisation</t>
  </si>
  <si>
    <t>Pen-test evidence</t>
  </si>
  <si>
    <t>Permissions model</t>
  </si>
  <si>
    <t>US-177</t>
  </si>
  <si>
    <t>Secure cookies</t>
  </si>
  <si>
    <t>As a Platform Administrator, I want to configure secure, HttpOnly and appropriate SameSite session cookies so that session tokens are harder to steal or misuse.</t>
  </si>
  <si>
    <t>configure secure, HttpOnly and appropriate SameSite session cookies</t>
  </si>
  <si>
    <t>session tokens are harder to steal or misuse</t>
  </si>
  <si>
    <t>Authorised platform administrator can configure secure, HttpOnly and appropriate SameSite session cookies; the expected result is persisted or returned; validation errors are clear; unauthorised access is denied.</t>
  </si>
  <si>
    <t>Session</t>
  </si>
  <si>
    <t>Login/session</t>
  </si>
  <si>
    <t>Authentication data</t>
  </si>
  <si>
    <t>Secure cookie flags</t>
  </si>
  <si>
    <t>Hosting config</t>
  </si>
  <si>
    <t>US-178</t>
  </si>
  <si>
    <t>Secret management</t>
  </si>
  <si>
    <t>As a Platform Administrator, I want to store API keys and secrets outside source code and logs so that credential leakage through repositories or diagnostics is reduced.</t>
  </si>
  <si>
    <t>store API keys and secrets outside source code and logs</t>
  </si>
  <si>
    <t>credential leakage through repositories or diagnostics is reduced</t>
  </si>
  <si>
    <t>Authorised platform administrator can store API keys and secrets outside source code and logs; the expected result is persisted or returned; validation errors are clear; unauthorised access is denied.</t>
  </si>
  <si>
    <t>Secrets</t>
  </si>
  <si>
    <t>Deployment/runtime</t>
  </si>
  <si>
    <t>Credentials</t>
  </si>
  <si>
    <t>Secret manager; rotation</t>
  </si>
  <si>
    <t>Secret scan</t>
  </si>
  <si>
    <t>US-179</t>
  </si>
  <si>
    <t>Dependency scanning</t>
  </si>
  <si>
    <t>As a Platform Administrator, I want to scan application dependencies for known vulnerabilities so that high-risk vulnerable packages are identified before release.</t>
  </si>
  <si>
    <t>scan application dependencies for known vulnerabilities</t>
  </si>
  <si>
    <t>high-risk vulnerable packages are identified before release</t>
  </si>
  <si>
    <t>Authorised platform administrator can scan application dependencies for known vulnerabilities; the expected result is persisted or returned; validation errors are clear; unauthorised access is denied.</t>
  </si>
  <si>
    <t>Codebase</t>
  </si>
  <si>
    <t>CI pipeline</t>
  </si>
  <si>
    <t>Dependency scan</t>
  </si>
  <si>
    <t>CI evidence</t>
  </si>
  <si>
    <t>US-180</t>
  </si>
  <si>
    <t>SAST and secret scan</t>
  </si>
  <si>
    <t>As a Platform Administrator, I want to run static analysis and secret scanning in CI so that common code and credential issues are found early.</t>
  </si>
  <si>
    <t>run static analysis and secret scanning in CI</t>
  </si>
  <si>
    <t>common code and credential issues are found early</t>
  </si>
  <si>
    <t>Authorised platform administrator can run static analysis and secret scanning in CI; the expected result is persisted or returned; validation errors are clear; unauthorised access is denied.</t>
  </si>
  <si>
    <t>SAST; secret scan</t>
  </si>
  <si>
    <t>US-181</t>
  </si>
  <si>
    <t>DAST</t>
  </si>
  <si>
    <t>Test</t>
  </si>
  <si>
    <t>As a Security Tester, I want to run dynamic application security testing against UAT so that runtime security flaws are identified before pilot.</t>
  </si>
  <si>
    <t>run dynamic application security testing against UAT</t>
  </si>
  <si>
    <t>runtime security flaws are identified before pilot</t>
  </si>
  <si>
    <t>Authorised security tester can run dynamic application security testing against UAT; the expected result is persisted or returned; validation errors are clear; unauthorised access is denied.</t>
  </si>
  <si>
    <t>Release gate</t>
  </si>
  <si>
    <t>Test data only</t>
  </si>
  <si>
    <t>UAT</t>
  </si>
  <si>
    <t>Test report</t>
  </si>
  <si>
    <t>UAT environment</t>
  </si>
  <si>
    <t>US-182</t>
  </si>
  <si>
    <t>Independent pen test</t>
  </si>
  <si>
    <t>As a DPO / Information Governance, I want to commission an independent penetration test before significant live deployment so that school stakeholders have evidence beyond developer self-testing.</t>
  </si>
  <si>
    <t>commission an independent penetration test before significant live deployment</t>
  </si>
  <si>
    <t>school stakeholders have evidence beyond developer self-testing</t>
  </si>
  <si>
    <t>Authorised dpo / information governance can commission an independent penetration test before significant live deployment; the expected result is persisted or returned; validation errors are clear; unauthorised access is denied.</t>
  </si>
  <si>
    <t>Pilot gate</t>
  </si>
  <si>
    <t>Test data / controlled live scope</t>
  </si>
  <si>
    <t>Independent test</t>
  </si>
  <si>
    <t>Pen-test report</t>
  </si>
  <si>
    <t>Stable UAT</t>
  </si>
  <si>
    <t>US-183</t>
  </si>
  <si>
    <t>API authentication</t>
  </si>
  <si>
    <t>Integration Administrator</t>
  </si>
  <si>
    <t>API</t>
  </si>
  <si>
    <t>As an integration administrator, I want to use scoped API credentials or OAuth for integrations so that external systems cannot rely on shared administrator credentials.</t>
  </si>
  <si>
    <t>use scoped API credentials or OAuth for integrations</t>
  </si>
  <si>
    <t>external systems cannot rely on shared administrator credentials</t>
  </si>
  <si>
    <t>Authorised integration administrator can use scoped API credentials or OAuth for integrations; the expected result is persisted or returned; validation errors are clear; unauthorised access is denied.</t>
  </si>
  <si>
    <t>API credentials</t>
  </si>
  <si>
    <t>API call</t>
  </si>
  <si>
    <t>Scoped tokens; rotation</t>
  </si>
  <si>
    <t>API audit</t>
  </si>
  <si>
    <t>Integration framework</t>
  </si>
  <si>
    <t>US-184</t>
  </si>
  <si>
    <t>Security incident response</t>
  </si>
  <si>
    <t>Operations</t>
  </si>
  <si>
    <t>As a Platform Administrator, I want to follow a documented process for suspected security incidents so that containment, notification and evidence preservation are coordinated.</t>
  </si>
  <si>
    <t>follow a documented process for suspected security incidents</t>
  </si>
  <si>
    <t>containment, notification and evidence preservation are coordinated</t>
  </si>
  <si>
    <t>Authorised platform administrator can follow a documented process for suspected security incidents; the expected result is persisted or returned; validation errors are clear; unauthorised access is denied.</t>
  </si>
  <si>
    <t>Security logs</t>
  </si>
  <si>
    <t>Security alert</t>
  </si>
  <si>
    <t>Runbook and escalation</t>
  </si>
  <si>
    <t>Incident record</t>
  </si>
  <si>
    <t>Monitoring</t>
  </si>
  <si>
    <t>US-185</t>
  </si>
  <si>
    <t>Log redaction</t>
  </si>
  <si>
    <t>As a Platform Administrator, I want to prevent passwords, tokens and unnecessary sensitive child data from entering application logs so that operational logs do not become a secondary data leak.</t>
  </si>
  <si>
    <t>prevent passwords, tokens and unnecessary sensitive child data from entering application logs</t>
  </si>
  <si>
    <t>operational logs do not become a secondary data leak</t>
  </si>
  <si>
    <t>Authorised platform administrator can prevent passwords, tokens and unnecessary sensitive child data from entering application logs; the expected result is persisted or returned; validation errors are clear; unauthorised access is denied.</t>
  </si>
  <si>
    <t>Application logs</t>
  </si>
  <si>
    <t>Logging</t>
  </si>
  <si>
    <t>Redaction</t>
  </si>
  <si>
    <t>Log review</t>
  </si>
  <si>
    <t>Logging framework</t>
  </si>
  <si>
    <t>US-186</t>
  </si>
  <si>
    <t>E15</t>
  </si>
  <si>
    <t>Reporting, Dashboards &amp; Analytics</t>
  </si>
  <si>
    <t>Teacher dashboard</t>
  </si>
  <si>
    <t>As a Teacher, I want to see assigned pupils, today's handovers, alerts and open actions so that I can prioritise the school day quickly.</t>
  </si>
  <si>
    <t>see assigned pupils, today's handovers, alerts and open actions</t>
  </si>
  <si>
    <t>I can prioritise the school day quickly</t>
  </si>
  <si>
    <t>Authorised teacher can see assigned pupils, today's handovers, alerts and open actions; the expected result is persisted or returned; validation errors are clear; unauthorised access is denied.</t>
  </si>
  <si>
    <t>Child; Transition Log; Child Event; Follow-Up Action</t>
  </si>
  <si>
    <t>Open dashboard</t>
  </si>
  <si>
    <t>Dashboard access</t>
  </si>
  <si>
    <t>Core data</t>
  </si>
  <si>
    <t>US-187</t>
  </si>
  <si>
    <t>TA dashboard</t>
  </si>
  <si>
    <t>As a Teaching Assistant, I want to see assigned pupils and today's practical support priorities so that I can act on the most relevant information without navigating full records.</t>
  </si>
  <si>
    <t>see assigned pupils and today's practical support priorities</t>
  </si>
  <si>
    <t>I can act on the most relevant information without navigating full records</t>
  </si>
  <si>
    <t>Authorised teaching assistant can see assigned pupils and today's practical support priorities; the expected result is persisted or returned; validation errors are clear; unauthorised access is denied.</t>
  </si>
  <si>
    <t>Child; Child Support Strategy; Child Event</t>
  </si>
  <si>
    <t>US-188</t>
  </si>
  <si>
    <t>SENCO dashboard</t>
  </si>
  <si>
    <t>As a SENCO / SENDCo, I want to see pupils needing review, overdue actions, incidents and upcoming EHCP activity so that I can triage workload and emerging concerns.</t>
  </si>
  <si>
    <t>see pupils needing review, overdue actions, incidents and upcoming EHCP activity</t>
  </si>
  <si>
    <t>I can triage workload and emerging concerns</t>
  </si>
  <si>
    <t>Authorised senco / sendco can see pupils needing review, overdue actions, incidents and upcoming EHCP activity; the expected result is persisted or returned; validation errors are clear; unauthorised access is denied.</t>
  </si>
  <si>
    <t>Child Event; Follow-Up Action; EHCP Review</t>
  </si>
  <si>
    <t>Role/tenant-filtered</t>
  </si>
  <si>
    <t>Dashboard metrics</t>
  </si>
  <si>
    <t>Reference UI wireframe; Original Architecture 2026-07-02</t>
  </si>
  <si>
    <t>US-189</t>
  </si>
  <si>
    <t>Guardian dashboard</t>
  </si>
  <si>
    <t>As a Parent / Guardian, I want to see my child's day, latest school handover and permitted actions so that I have one clear place to understand relevant school information.</t>
  </si>
  <si>
    <t>see my child's day, latest school handover and permitted actions</t>
  </si>
  <si>
    <t>I have one clear place to understand relevant school information</t>
  </si>
  <si>
    <t>Authorised parent / guardian can see my child's day, latest school handover and permitted actions; the expected result is persisted or returned; validation errors are clear; unauthorised access is denied.</t>
  </si>
  <si>
    <t>Transition Log; Child Event; Message</t>
  </si>
  <si>
    <t>US-190</t>
  </si>
  <si>
    <t>Child dashboard</t>
  </si>
  <si>
    <t>As a Child, I want to see age-appropriate check-in, wins and support tools so that the product gives the child a useful voice rather than only observing them.</t>
  </si>
  <si>
    <t>see age-appropriate check-in, wins and support tools</t>
  </si>
  <si>
    <t>the product gives the child a useful voice rather than only observing them</t>
  </si>
  <si>
    <t>Authorised child can see age-appropriate check-in, wins and support tools; the expected result is persisted or returned; validation errors are clear; unauthorised access is denied.</t>
  </si>
  <si>
    <t>Child Check-In; Child Event; Child Support Strategy</t>
  </si>
  <si>
    <t>Self-only / visibility rules</t>
  </si>
  <si>
    <t>Child account</t>
  </si>
  <si>
    <t>US-191</t>
  </si>
  <si>
    <t>School leadership dashboard</t>
  </si>
  <si>
    <t>Headteacher / SLT</t>
  </si>
  <si>
    <t>As a Headteacher / SLT, I want to see aggregate SEND operational metrics without default access to unnecessary detail so that I can understand workload and service patterns while respecting need-to-know.</t>
  </si>
  <si>
    <t>see aggregate SEND operational metrics without default access to unnecessary detail</t>
  </si>
  <si>
    <t>I can understand workload and service patterns while respecting need-to-know</t>
  </si>
  <si>
    <t>Authorised headteacher / slt can see aggregate SEND operational metrics without default access to unnecessary detail; the expected result is persisted or returned; validation errors are clear; unauthorised access is denied.</t>
  </si>
  <si>
    <t>Aggregated Child Event; EHCP Review; Follow-Up Action</t>
  </si>
  <si>
    <t>Aggregated sensitive data</t>
  </si>
  <si>
    <t>Aggregate role; drill-down restrictions</t>
  </si>
  <si>
    <t>Leadership metrics</t>
  </si>
  <si>
    <t>US-192</t>
  </si>
  <si>
    <t>Child timeline</t>
  </si>
  <si>
    <t>As a Teacher, I want to view a single chronological timeline across handovers, observations, incidents and actions so that I can understand events in context rather than across separate modules.</t>
  </si>
  <si>
    <t>view a single chronological timeline across handovers, observations, incidents and actions</t>
  </si>
  <si>
    <t>I can understand events in context rather than across separate modules</t>
  </si>
  <si>
    <t>Authorised teacher can view a single chronological timeline across handovers, observations, incidents and actions; the expected result is persisted or returned; validation errors are clear; unauthorised access is denied.</t>
  </si>
  <si>
    <t>Child Event and detail tables</t>
  </si>
  <si>
    <t>Transactional spine</t>
  </si>
  <si>
    <t>Data Model v0.1; Reference UI wireframe</t>
  </si>
  <si>
    <t>US-193</t>
  </si>
  <si>
    <t>Date-range filters</t>
  </si>
  <si>
    <t>As a SENCO / SENDCo, I want to filter child history and reports by date range and event type so that I can focus reviews on the relevant period.</t>
  </si>
  <si>
    <t>filter child history and reports by date range and event type</t>
  </si>
  <si>
    <t>I can focus reviews on the relevant period</t>
  </si>
  <si>
    <t>Authorised senco / sendco can filter child history and reports by date range and event type; the expected result is persisted or returned; validation errors are clear; unauthorised access is denied.</t>
  </si>
  <si>
    <t>Report filter</t>
  </si>
  <si>
    <t>Filter usage</t>
  </si>
  <si>
    <t>US-194</t>
  </si>
  <si>
    <t>Behaviour chronology report</t>
  </si>
  <si>
    <t>As a SENCO / SENDCo, I want to produce a chronology of incidents with surrounding context so that meetings can review evidence systematically.</t>
  </si>
  <si>
    <t>produce a chronology of incidents with surrounding context</t>
  </si>
  <si>
    <t>meetings can review evidence systematically</t>
  </si>
  <si>
    <t>Authorised senco / sendco can produce a chronology of incidents with surrounding context; the expected result is persisted or returned; validation errors are clear; unauthorised access is denied.</t>
  </si>
  <si>
    <t>Entitled export/view</t>
  </si>
  <si>
    <t>Report audit</t>
  </si>
  <si>
    <t>US-195</t>
  </si>
  <si>
    <t>EHCP evidence report</t>
  </si>
  <si>
    <t>As a SENCO / SENDCo, I want to generate an EHCP review evidence pack from linked records so that manual evidence compilation is reduced.</t>
  </si>
  <si>
    <t>generate an EHCP review evidence pack from linked records</t>
  </si>
  <si>
    <t>manual evidence compilation is reduced</t>
  </si>
  <si>
    <t>Authorised senco / sendco can generate an EHCP review evidence pack from linked records; the expected result is persisted or returned; validation errors are clear; unauthorised access is denied.</t>
  </si>
  <si>
    <t>EHCP Review; Evidence Link; Child Event</t>
  </si>
  <si>
    <t>Restricted export</t>
  </si>
  <si>
    <t>US-196</t>
  </si>
  <si>
    <t>As a SENCO / SENDCo, I want to view trends over standard periods for selected structured measures so that changes are visible without over-interpreting single events.</t>
  </si>
  <si>
    <t>view trends over standard periods for selected structured measures</t>
  </si>
  <si>
    <t>changes are visible without over-interpreting single events</t>
  </si>
  <si>
    <t>Authorised senco / sendco can view trends over standard periods for selected structured measures; the expected result is persisted or returned; validation errors are clear; unauthorised access is denied.</t>
  </si>
  <si>
    <t>Transition Log; Observation; Behavioural Incident</t>
  </si>
  <si>
    <t>Analytics view</t>
  </si>
  <si>
    <t>Trend report</t>
  </si>
  <si>
    <t>Structured data quality</t>
  </si>
  <si>
    <t>US-197</t>
  </si>
  <si>
    <t>Strategy effectiveness report</t>
  </si>
  <si>
    <t>As a SENCO / SENDCo, I want to compare frequency and observed outcomes of strategies so that support reviews can use evidence about what appears to help.</t>
  </si>
  <si>
    <t>compare frequency and observed outcomes of strategies</t>
  </si>
  <si>
    <t>support reviews can use evidence about what appears to help</t>
  </si>
  <si>
    <t>Authorised senco / sendco can compare frequency and observed outcomes of strategies; the expected result is persisted or returned; validation errors are clear; unauthorised access is denied.</t>
  </si>
  <si>
    <t>Strategy Use; Observation</t>
  </si>
  <si>
    <t>Intervention report</t>
  </si>
  <si>
    <t>US-198</t>
  </si>
  <si>
    <t>Data completeness dashboard</t>
  </si>
  <si>
    <t>As a Data Steward, I want to see missing or stale required data by school and entity so that data-quality work can be targeted before analytics or AI.</t>
  </si>
  <si>
    <t>see missing or stale required data by school and entity</t>
  </si>
  <si>
    <t>data-quality work can be targeted before analytics or AI</t>
  </si>
  <si>
    <t>Authorised data steward can see missing or stale required data by school and entity; the expected result is persisted or returned; validation errors are clear; unauthorised access is denied.</t>
  </si>
  <si>
    <t>All core objects</t>
  </si>
  <si>
    <t>DQ calculation</t>
  </si>
  <si>
    <t>Metadata / sensitive counts</t>
  </si>
  <si>
    <t>DQ metrics</t>
  </si>
  <si>
    <t>Data-quality rules</t>
  </si>
  <si>
    <t>US-199</t>
  </si>
  <si>
    <t>Exportable report</t>
  </si>
  <si>
    <t>As a Parent / Guardian, I want to export an authorised report as PDF so that I can share a readable record in meetings without exposing unrelated data.</t>
  </si>
  <si>
    <t>export an authorised report as PDF</t>
  </si>
  <si>
    <t>I can share a readable record in meetings without exposing unrelated data</t>
  </si>
  <si>
    <t>Authorised parent / guardian can export an authorised report as PDF; the expected result is persisted or returned; validation errors are clear; unauthorised access is denied.</t>
  </si>
  <si>
    <t>Reporting views</t>
  </si>
  <si>
    <t>Scope/consent checks</t>
  </si>
  <si>
    <t>US-200</t>
  </si>
  <si>
    <t>CSV analytical export</t>
  </si>
  <si>
    <t>School Data / Reporting Analyst</t>
  </si>
  <si>
    <t>As a School Data / Reporting Analyst, I want to export permitted structured data as CSV so that school-approved analysis or migration can be performed outside the application.</t>
  </si>
  <si>
    <t>export permitted structured data as CSV</t>
  </si>
  <si>
    <t>school-approved analysis or migration can be performed outside the application</t>
  </si>
  <si>
    <t>Authorised school data / reporting analyst can export permitted structured data as CSV; the expected result is persisted or returned; validation errors are clear; unauthorised access is denied.</t>
  </si>
  <si>
    <t>Selected core tables</t>
  </si>
  <si>
    <t>Role/purpose controls</t>
  </si>
  <si>
    <t>US-201</t>
  </si>
  <si>
    <t>Cross-school benchmark</t>
  </si>
  <si>
    <t>As a MAT administrator, I want to compare schools using identifiable pupil-level operational data so that I can rank schools directly using raw child data.</t>
  </si>
  <si>
    <t>compare schools using identifiable pupil-level operational data</t>
  </si>
  <si>
    <t>I can rank schools directly using raw child data</t>
  </si>
  <si>
    <t>Authorised mat administrator can compare schools using identifiable pupil-level operational data; the expected result is persisted or returned; validation errors are clear; unauthorised access is denied.</t>
  </si>
  <si>
    <t>Cross-tenant operational data</t>
  </si>
  <si>
    <t>Analytics</t>
  </si>
  <si>
    <t>Highly sensitive</t>
  </si>
  <si>
    <t>Not permitted as designed</t>
  </si>
  <si>
    <t>Cross-tenant</t>
  </si>
  <si>
    <t>Anonymisation/research governance</t>
  </si>
  <si>
    <t>US-202</t>
  </si>
  <si>
    <t>Scheduled management report</t>
  </si>
  <si>
    <t>As a SENCO / SENDCo, I want to schedule recurring aggregate reports for approved recipients so that routine oversight does not require manual report generation.</t>
  </si>
  <si>
    <t>schedule recurring aggregate reports for approved recipients</t>
  </si>
  <si>
    <t>routine oversight does not require manual report generation</t>
  </si>
  <si>
    <t>Authorised senco / sendco can schedule recurring aggregate reports for approved recipients; the expected result is persisted or returned; validation errors are clear; unauthorised access is denied.</t>
  </si>
  <si>
    <t>Scheduled report</t>
  </si>
  <si>
    <t>Approved recipient list</t>
  </si>
  <si>
    <t>US-203</t>
  </si>
  <si>
    <t>Dashboard drill-through</t>
  </si>
  <si>
    <t>As a SENCO / SENDCo, I want to drill from an aggregate alert to the underlying entitled records so that metrics remain explainable and actionable.</t>
  </si>
  <si>
    <t>drill from an aggregate alert to the underlying entitled records</t>
  </si>
  <si>
    <t>metrics remain explainable and actionable</t>
  </si>
  <si>
    <t>Authorised senco / sendco can drill from an aggregate alert to the underlying entitled records; the expected result is persisted or returned; validation errors are clear; unauthorised access is denied.</t>
  </si>
  <si>
    <t>Child Event; Follow-Up Action</t>
  </si>
  <si>
    <t>Dashboard interaction</t>
  </si>
  <si>
    <t>Entitlement checked on drill</t>
  </si>
  <si>
    <t>Dashboard</t>
  </si>
  <si>
    <t>US-204</t>
  </si>
  <si>
    <t>E16</t>
  </si>
  <si>
    <t>Import, Export, Portability &amp; Integration</t>
  </si>
  <si>
    <t>Child roster import</t>
  </si>
  <si>
    <t>As a School Administrator, I want to import children from a validated template so that school onboarding can avoid repetitive manual entry.</t>
  </si>
  <si>
    <t>import children from a validated template</t>
  </si>
  <si>
    <t>school onboarding can avoid repetitive manual entry</t>
  </si>
  <si>
    <t>Authorised school administrator can import children from a validated template; the expected result is persisted or returned; validation errors are clear; unauthorised access is denied.</t>
  </si>
  <si>
    <t>Admin-only; tenant-scoped</t>
  </si>
  <si>
    <t>Import audit</t>
  </si>
  <si>
    <t>US-205</t>
  </si>
  <si>
    <t>Guardian import</t>
  </si>
  <si>
    <t>As a School Administrator, I want to import guardian and child relationship data so that family records can be onboarded efficiently.</t>
  </si>
  <si>
    <t>import guardian and child relationship data</t>
  </si>
  <si>
    <t>family records can be onboarded efficiently</t>
  </si>
  <si>
    <t>Authorised school administrator can import guardian and child relationship data; the expected result is persisted or returned; validation errors are clear; unauthorised access is denied.</t>
  </si>
  <si>
    <t>Admin-only; validation</t>
  </si>
  <si>
    <t>Child roster</t>
  </si>
  <si>
    <t>US-206</t>
  </si>
  <si>
    <t>Staff import</t>
  </si>
  <si>
    <t>As a School Administrator, I want to import staff and school assignments so that role setup can be completed efficiently.</t>
  </si>
  <si>
    <t>import staff and school assignments</t>
  </si>
  <si>
    <t>role setup can be completed efficiently</t>
  </si>
  <si>
    <t>Authorised school administrator can import staff and school assignments; the expected result is persisted or returned; validation errors are clear; unauthorised access is denied.</t>
  </si>
  <si>
    <t>Staff personal data</t>
  </si>
  <si>
    <t>US-207</t>
  </si>
  <si>
    <t>Import validation</t>
  </si>
  <si>
    <t>As a School Administrator, I want to receive row-level validation errors before invalid data is committed so that bad imports do not silently corrupt foundation data.</t>
  </si>
  <si>
    <t>receive row-level validation errors before invalid data is committed</t>
  </si>
  <si>
    <t>bad imports do not silently corrupt foundation data</t>
  </si>
  <si>
    <t>Authorised school administrator can receive row-level validation errors before invalid data is committed; the expected result is persisted or returned; validation errors are clear; unauthorised access is denied.</t>
  </si>
  <si>
    <t>Import Job</t>
  </si>
  <si>
    <t>Staged validation</t>
  </si>
  <si>
    <t>Import error report</t>
  </si>
  <si>
    <t>US-208</t>
  </si>
  <si>
    <t>Duplicate handling on import</t>
  </si>
  <si>
    <t>As a School Administrator, I want to review likely duplicate people during import so that bulk onboarding does not create obvious duplicate identities.</t>
  </si>
  <si>
    <t>review likely duplicate people during import</t>
  </si>
  <si>
    <t>bulk onboarding does not create obvious duplicate identities</t>
  </si>
  <si>
    <t>Authorised school administrator can review likely duplicate people during import; the expected result is persisted or returned; validation errors are clear; unauthorised access is denied.</t>
  </si>
  <si>
    <t>Tenant-scoped match</t>
  </si>
  <si>
    <t>US-209</t>
  </si>
  <si>
    <t>Full child data export</t>
  </si>
  <si>
    <t>As a DPO / Information Governance, I want to export a child's authorised data in a structured portable format so that migration or rights requests are not locked into the application.</t>
  </si>
  <si>
    <t>export a child's authorised data in a structured portable format</t>
  </si>
  <si>
    <t>migration or rights requests are not locked into the application</t>
  </si>
  <si>
    <t>Authorised dpo / information governance can export a child's authorised data in a structured portable format; the expected result is persisted or returned; validation errors are clear; unauthorised access is denied.</t>
  </si>
  <si>
    <t>Purpose/entitlement checks</t>
  </si>
  <si>
    <t>US-210</t>
  </si>
  <si>
    <t>Application migration export</t>
  </si>
  <si>
    <t>As a School Administrator, I want to export documented CSV/JSON datasets with stable identifiers and relationships so that another application can ingest data with minimal ambiguity.</t>
  </si>
  <si>
    <t>export documented CSV/JSON datasets with stable identifiers and relationships</t>
  </si>
  <si>
    <t>another application can ingest data with minimal ambiguity</t>
  </si>
  <si>
    <t>Authorised school administrator can export documented CSV/JSON datasets with stable identifiers and relationships; the expected result is persisted or returned; validation errors are clear; unauthorised access is denied.</t>
  </si>
  <si>
    <t>Core data model</t>
  </si>
  <si>
    <t>Migration export</t>
  </si>
  <si>
    <t>Admin + governance approval</t>
  </si>
  <si>
    <t>US-211</t>
  </si>
  <si>
    <t>PDF document export</t>
  </si>
  <si>
    <t>As a Parent / Guardian, I want to export human-readable reports as PDF so that non-technical recipients can use the information in meetings.</t>
  </si>
  <si>
    <t>export human-readable reports as PDF</t>
  </si>
  <si>
    <t>non-technical recipients can use the information in meetings</t>
  </si>
  <si>
    <t>Authorised parent / guardian can export human-readable reports as PDF; the expected result is persisted or returned; validation errors are clear; unauthorised access is denied.</t>
  </si>
  <si>
    <t>Reports</t>
  </si>
  <si>
    <t>Entitlement checks</t>
  </si>
  <si>
    <t>US-212</t>
  </si>
  <si>
    <t>API access</t>
  </si>
  <si>
    <t>As an integration administrator, I want to use documented APIs for permitted data exchange so that schools can integrate without scraping the UI or direct database access.</t>
  </si>
  <si>
    <t>use documented APIs for permitted data exchange</t>
  </si>
  <si>
    <t>schools can integrate without scraping the UI or direct database access</t>
  </si>
  <si>
    <t>Authorised integration administrator can use documented APIs for permitted data exchange; the expected result is persisted or returned; validation errors are clear; unauthorised access is denied.</t>
  </si>
  <si>
    <t>API layer; core objects</t>
  </si>
  <si>
    <t>API request</t>
  </si>
  <si>
    <t>Scoped tokens; rate limiting</t>
  </si>
  <si>
    <t>API security</t>
  </si>
  <si>
    <t>US-213</t>
  </si>
  <si>
    <t>Outbound webhook</t>
  </si>
  <si>
    <t>As an integration administrator, I want to configure approved event notifications to another system so that defined external workflows can react to See My Mind changes.</t>
  </si>
  <si>
    <t>configure approved event notifications to another system</t>
  </si>
  <si>
    <t>defined external workflows can react to See My Mind changes</t>
  </si>
  <si>
    <t>Authorised integration administrator can configure approved event notifications to another system; the expected result is persisted or returned; validation errors are clear; unauthorised access is denied.</t>
  </si>
  <si>
    <t>Webhook Subscription; Child Event</t>
  </si>
  <si>
    <t>Event trigger</t>
  </si>
  <si>
    <t>Signed payload; field minimisation</t>
  </si>
  <si>
    <t>US-214</t>
  </si>
  <si>
    <t>Legacy prototype migration</t>
  </si>
  <si>
    <t>As a Product / Implementation Team, I want to map legacy Flask/SQLite data into the new Frappe model so that existing prototype evidence can be retained if needed.</t>
  </si>
  <si>
    <t>map legacy Flask/SQLite data into the new Frappe model</t>
  </si>
  <si>
    <t>existing prototype evidence can be retained if needed</t>
  </si>
  <si>
    <t>Authorised product / implementation team can map legacy Flask/SQLite data into the new Frappe model; the expected result is persisted or returned; validation errors are clear; unauthorised access is denied.</t>
  </si>
  <si>
    <t>Legacy tables; core new tables</t>
  </si>
  <si>
    <t>Migration</t>
  </si>
  <si>
    <t>Controlled migration</t>
  </si>
  <si>
    <t>Migration reconciliation</t>
  </si>
  <si>
    <t>Migration mapping</t>
  </si>
  <si>
    <t>US-215</t>
  </si>
  <si>
    <t>Export encryption</t>
  </si>
  <si>
    <t>As a DPO / Information Governance, I want to encrypt sensitive bulk exports where practical so that files leaving the platform are protected during transfer.</t>
  </si>
  <si>
    <t>encrypt sensitive bulk exports where practical</t>
  </si>
  <si>
    <t>files leaving the platform are protected during transfer</t>
  </si>
  <si>
    <t>Authorised dpo / information governance can encrypt sensitive bulk exports where practical; the expected result is persisted or returned; validation errors are clear; unauthorised access is denied.</t>
  </si>
  <si>
    <t>Export package</t>
  </si>
  <si>
    <t>Encryption/password or secure channel</t>
  </si>
  <si>
    <t>US-216</t>
  </si>
  <si>
    <t>Data mapping specification</t>
  </si>
  <si>
    <t>Documentation</t>
  </si>
  <si>
    <t>As an integration administrator, I want to obtain field definitions, identifiers and relationship mappings for export/import interfaces so that integrations can preserve meaning and referential relationships.</t>
  </si>
  <si>
    <t>obtain field definitions, identifiers and relationship mappings for export/import interfaces</t>
  </si>
  <si>
    <t>integrations can preserve meaning and referential relationships</t>
  </si>
  <si>
    <t>Authorised integration administrator can obtain field definitions, identifiers and relationship mappings for export/import interfaces; the expected result is persisted or returned; validation errors are clear; unauthorised access is denied.</t>
  </si>
  <si>
    <t>Integration design</t>
  </si>
  <si>
    <t>US-217</t>
  </si>
  <si>
    <t>E17</t>
  </si>
  <si>
    <t>Mobile Applications &amp; Device Experience</t>
  </si>
  <si>
    <t>iOS app</t>
  </si>
  <si>
    <t>iOS</t>
  </si>
  <si>
    <t>As a Parent / Guardian, I want to use a supported iOS application for core daily workflows so that mobile-first usage is convenient and reliable.</t>
  </si>
  <si>
    <t>use a supported iOS application for core daily workflows</t>
  </si>
  <si>
    <t>mobile-first usage is convenient and reliable</t>
  </si>
  <si>
    <t>Authorised parent / guardian can use a supported iOS application for core daily workflows; the expected result is persisted or returned; validation errors are clear; unauthorised access is denied.</t>
  </si>
  <si>
    <t>Mobile client; APIs</t>
  </si>
  <si>
    <t>App usage</t>
  </si>
  <si>
    <t>Secure mobile session; MFA</t>
  </si>
  <si>
    <t>App telemetry</t>
  </si>
  <si>
    <t>Mobile architecture</t>
  </si>
  <si>
    <t>US-218</t>
  </si>
  <si>
    <t>Android app</t>
  </si>
  <si>
    <t>Android</t>
  </si>
  <si>
    <t>As a Parent / Guardian, I want to use a supported Android application for core daily workflows so that mobile-first usage is convenient and reliable.</t>
  </si>
  <si>
    <t>use a supported Android application for core daily workflows</t>
  </si>
  <si>
    <t>Authorised parent / guardian can use a supported Android application for core daily workflows; the expected result is persisted or returned; validation errors are clear; unauthorised access is denied.</t>
  </si>
  <si>
    <t>US-219</t>
  </si>
  <si>
    <t>Staff mobile workflow</t>
  </si>
  <si>
    <t>iOS + Android</t>
  </si>
  <si>
    <t>As a Teacher, I want to complete handovers, observations and actions from a phone so that recording can happen close to the school event rather than later at a desk.</t>
  </si>
  <si>
    <t>complete handovers, observations and actions from a phone</t>
  </si>
  <si>
    <t>recording can happen close to the school event rather than later at a desk</t>
  </si>
  <si>
    <t>Authorised teacher can complete handovers, observations and actions from a phone; the expected result is persisted or returned; validation errors are clear; unauthorised access is denied.</t>
  </si>
  <si>
    <t>Mobile client; core transaction APIs</t>
  </si>
  <si>
    <t>Operational capture</t>
  </si>
  <si>
    <t>Assignment-based entitlement</t>
  </si>
  <si>
    <t>Usage/latency metrics</t>
  </si>
  <si>
    <t>Mobile apps</t>
  </si>
  <si>
    <t>US-220</t>
  </si>
  <si>
    <t>Responsive tablet support</t>
  </si>
  <si>
    <t>As a Teaching Assistant, I want to use the app effectively on school tablets so that shared school devices remain a practical option.</t>
  </si>
  <si>
    <t>use the app effectively on school tablets</t>
  </si>
  <si>
    <t>shared school devices remain a practical option</t>
  </si>
  <si>
    <t>Authorised teaching assistant can use the app effectively on school tablets; the expected result is persisted or returned; validation errors are clear; unauthorised access is denied.</t>
  </si>
  <si>
    <t>Mobile client</t>
  </si>
  <si>
    <t>Session controls</t>
  </si>
  <si>
    <t>Device telemetry</t>
  </si>
  <si>
    <t>Responsive UI</t>
  </si>
  <si>
    <t>US-221</t>
  </si>
  <si>
    <t>As an authenticated user, I want to receive secure push notifications for permitted important events so that I can respond without continually opening the app.</t>
  </si>
  <si>
    <t>receive secure push notifications for permitted important events</t>
  </si>
  <si>
    <t>I can respond without continually opening the app</t>
  </si>
  <si>
    <t>Authorised all users can receive secure push notifications for permitted important events; the expected result is persisted or returned; validation errors are clear; unauthorised access is denied.</t>
  </si>
  <si>
    <t>Minimal lock-screen content</t>
  </si>
  <si>
    <t>Native/hybrid client</t>
  </si>
  <si>
    <t>US-222</t>
  </si>
  <si>
    <t>Camera upload</t>
  </si>
  <si>
    <t>As a Teacher, I want to capture and upload permitted evidence from the device camera so that supporting evidence can be added without desktop steps.</t>
  </si>
  <si>
    <t>capture and upload permitted evidence from the device camera</t>
  </si>
  <si>
    <t>supporting evidence can be added without desktop steps</t>
  </si>
  <si>
    <t>Authorised teacher can capture and upload permitted evidence from the device camera; the expected result is persisted or returned; validation errors are clear; unauthorised access is denied.</t>
  </si>
  <si>
    <t>File; Child Document</t>
  </si>
  <si>
    <t>Attachment capture</t>
  </si>
  <si>
    <t>Permission prompt; malware/content controls</t>
  </si>
  <si>
    <t>Upload audit</t>
  </si>
  <si>
    <t>US-223</t>
  </si>
  <si>
    <t>Offline draft queue</t>
  </si>
  <si>
    <t>As a Teacher, I want to save a draft observation when connectivity is unavailable so that poor Wi-Fi does not force me to lose notes.</t>
  </si>
  <si>
    <t>save a draft observation when connectivity is unavailable</t>
  </si>
  <si>
    <t>poor Wi-Fi does not force me to lose notes</t>
  </si>
  <si>
    <t>Authorised teacher can save a draft observation when connectivity is unavailable; the expected result is persisted or returned; validation errors are clear; unauthorised access is denied.</t>
  </si>
  <si>
    <t>Local encrypted draft; Observation</t>
  </si>
  <si>
    <t>Offline create</t>
  </si>
  <si>
    <t>Encrypted local store; auto-expiry</t>
  </si>
  <si>
    <t>Sync log</t>
  </si>
  <si>
    <t>US-224</t>
  </si>
  <si>
    <t>Secure sync</t>
  </si>
  <si>
    <t>As a Platform Administrator, I want to synchronise queued mobile data safely when connectivity returns so that offline capability does not create duplicate or conflicting records.</t>
  </si>
  <si>
    <t>synchronise queued mobile data safely when connectivity returns</t>
  </si>
  <si>
    <t>offline capability does not create duplicate or conflicting records</t>
  </si>
  <si>
    <t>Authorised platform administrator can synchronise queued mobile data safely when connectivity returns; the expected result is persisted or returned; validation errors are clear; unauthorised access is denied.</t>
  </si>
  <si>
    <t>Mobile sync metadata</t>
  </si>
  <si>
    <t>Reconnect</t>
  </si>
  <si>
    <t>Conflict handling; encryption</t>
  </si>
  <si>
    <t>Sync audit</t>
  </si>
  <si>
    <t>Offline queue</t>
  </si>
  <si>
    <t>US-225</t>
  </si>
  <si>
    <t>Biometric unlock</t>
  </si>
  <si>
    <t>As an authenticated user, I want to use device biometrics to unlock an already authenticated app session so that frequent mobile access can remain convenient without weakening account authentication.</t>
  </si>
  <si>
    <t>use device biometrics to unlock an already authenticated app session</t>
  </si>
  <si>
    <t>frequent mobile access can remain convenient without weakening account authentication</t>
  </si>
  <si>
    <t>Authorised all users can use device biometrics to unlock an already authenticated app session; the expected result is persisted or returned; validation errors are clear; unauthorised access is denied.</t>
  </si>
  <si>
    <t>Mobile session</t>
  </si>
  <si>
    <t>App unlock</t>
  </si>
  <si>
    <t>Device biometric binding</t>
  </si>
  <si>
    <t>Device/session audit</t>
  </si>
  <si>
    <t>Native client</t>
  </si>
  <si>
    <t>US-226</t>
  </si>
  <si>
    <t>Deep links</t>
  </si>
  <si>
    <t>As a Teacher, I want to open a permitted pupil, message or action directly from a notification so that alerts lead me to the relevant task with minimal navigation.</t>
  </si>
  <si>
    <t>open a permitted pupil, message or action directly from a notification</t>
  </si>
  <si>
    <t>alerts lead me to the relevant task with minimal navigation</t>
  </si>
  <si>
    <t>Authorised teacher can open a permitted pupil, message or action directly from a notification; the expected result is persisted or returned; validation errors are clear; unauthorised access is denied.</t>
  </si>
  <si>
    <t>Mobile routing</t>
  </si>
  <si>
    <t>Notification click</t>
  </si>
  <si>
    <t>Re-check entitlement after open</t>
  </si>
  <si>
    <t>US-227</t>
  </si>
  <si>
    <t>App store distribution</t>
  </si>
  <si>
    <t>As a Platform Administrator, I want to release signed iOS and Android builds through managed distribution channels so that schools can install trusted versions and receive updates.</t>
  </si>
  <si>
    <t>release signed iOS and Android builds through managed distribution channels</t>
  </si>
  <si>
    <t>schools can install trusted versions and receive updates</t>
  </si>
  <si>
    <t>Authorised platform administrator can release signed iOS and Android builds through managed distribution channels; the expected result is persisted or returned; validation errors are clear; unauthorised access is denied.</t>
  </si>
  <si>
    <t>Mobile release artefacts</t>
  </si>
  <si>
    <t>Release</t>
  </si>
  <si>
    <t>Signing; store controls</t>
  </si>
  <si>
    <t>Release history</t>
  </si>
  <si>
    <t>Mobile CI/CD</t>
  </si>
  <si>
    <t>US-228</t>
  </si>
  <si>
    <t>Low bandwidth mode</t>
  </si>
  <si>
    <t>As a Parent / Guardian, I want to complete core flows on slow mobile connections so that connectivity limitations do not block daily handovers.</t>
  </si>
  <si>
    <t>complete core flows on slow mobile connections</t>
  </si>
  <si>
    <t>connectivity limitations do not block daily handovers</t>
  </si>
  <si>
    <t>Authorised parent / guardian can complete core flows on slow mobile connections; the expected result is persisted or returned; validation errors are clear; unauthorised access is denied.</t>
  </si>
  <si>
    <t>Efficient payloads</t>
  </si>
  <si>
    <t>Performance telemetry</t>
  </si>
  <si>
    <t>API performance</t>
  </si>
  <si>
    <t>Performance</t>
  </si>
  <si>
    <t>US-229</t>
  </si>
  <si>
    <t>Mobile accessibility</t>
  </si>
  <si>
    <t>As a Child, I want to use device text scaling, screen readers and accessible controls so that disability or accessibility needs do not prevent use.</t>
  </si>
  <si>
    <t>use device text scaling, screen readers and accessible controls</t>
  </si>
  <si>
    <t>disability or accessibility needs do not prevent use</t>
  </si>
  <si>
    <t>Authorised child can use device text scaling, screen readers and accessible controls; the expected result is persisted or returned; validation errors are clear; unauthorised access is denied.</t>
  </si>
  <si>
    <t>Mobile UI</t>
  </si>
  <si>
    <t>Accessible UI</t>
  </si>
  <si>
    <t>Design system</t>
  </si>
  <si>
    <t>US-230</t>
  </si>
  <si>
    <t>Crash diagnostics</t>
  </si>
  <si>
    <t>As a Support Analyst, I want to receive privacy-safe crash diagnostics so that mobile defects can be resolved without collecting child content in crash logs.</t>
  </si>
  <si>
    <t>receive privacy-safe crash diagnostics</t>
  </si>
  <si>
    <t>mobile defects can be resolved without collecting child content in crash logs</t>
  </si>
  <si>
    <t>Authorised support analyst can receive privacy-safe crash diagnostics; the expected result is persisted or returned; validation errors are clear; unauthorised access is denied.</t>
  </si>
  <si>
    <t>Telemetry</t>
  </si>
  <si>
    <t>App crash</t>
  </si>
  <si>
    <t>No child content by default</t>
  </si>
  <si>
    <t>Redacted diagnostics</t>
  </si>
  <si>
    <t>Crash report</t>
  </si>
  <si>
    <t>Monitoring platform</t>
  </si>
  <si>
    <t>US-231</t>
  </si>
  <si>
    <t>E18</t>
  </si>
  <si>
    <t>Browser UX, Simplicity &amp; Accessibility</t>
  </si>
  <si>
    <t>Browser application</t>
  </si>
  <si>
    <t>As an authenticated user, I want to use the application in current mainstream browsers so that schools are not dependent on mobile installation for access.</t>
  </si>
  <si>
    <t>use the application in current mainstream browsers</t>
  </si>
  <si>
    <t>schools are not dependent on mobile installation for access</t>
  </si>
  <si>
    <t>Authorised all users can use the application in current mainstream browsers; the expected result is persisted or returned; validation errors are clear; unauthorised access is denied.</t>
  </si>
  <si>
    <t>Web frontend</t>
  </si>
  <si>
    <t>Secure web session</t>
  </si>
  <si>
    <t>Browser support metrics</t>
  </si>
  <si>
    <t>US-232</t>
  </si>
  <si>
    <t>Role-specific landing page</t>
  </si>
  <si>
    <t>As an authenticated user, I want to land on a dashboard designed for my role so that I see relevant tasks rather than a generic database interface.</t>
  </si>
  <si>
    <t>land on a dashboard designed for my role</t>
  </si>
  <si>
    <t>I see relevant tasks rather than a generic database interface</t>
  </si>
  <si>
    <t>Authorised all users can land on a dashboard designed for my role; the expected result is persisted or returned; validation errors are clear; unauthorised access is denied.</t>
  </si>
  <si>
    <t>Dashboard views</t>
  </si>
  <si>
    <t>Role/assignment filtering</t>
  </si>
  <si>
    <t>Usage metrics</t>
  </si>
  <si>
    <t>US-233</t>
  </si>
  <si>
    <t>Simple language</t>
  </si>
  <si>
    <t>As a Parent / Guardian, I want to read plain, non-clinical interface language so that I can understand the product without specialist terminology.</t>
  </si>
  <si>
    <t>read plain, non-clinical interface language</t>
  </si>
  <si>
    <t>I can understand the product without specialist terminology</t>
  </si>
  <si>
    <t>Authorised parent / guardian can read plain, non-clinical interface language; the expected result is persisted or returned; validation errors are clear; unauthorised access is denied.</t>
  </si>
  <si>
    <t>UI content</t>
  </si>
  <si>
    <t>All flows</t>
  </si>
  <si>
    <t>Usability testing</t>
  </si>
  <si>
    <t>US-234</t>
  </si>
  <si>
    <t>Minimal typing</t>
  </si>
  <si>
    <t>As a Parent / Guardian, I want to use structured choices and short inputs for routine daily flows so that daily capture remains low effort.</t>
  </si>
  <si>
    <t>use structured choices and short inputs for routine daily flows</t>
  </si>
  <si>
    <t>daily capture remains low effort</t>
  </si>
  <si>
    <t>Authorised parent / guardian can use structured choices and short inputs for routine daily flows; the expected result is persisted or returned; validation errors are clear; unauthorised access is denied.</t>
  </si>
  <si>
    <t>Forms</t>
  </si>
  <si>
    <t>Routine capture</t>
  </si>
  <si>
    <t>Authenticated</t>
  </si>
  <si>
    <t>US-235</t>
  </si>
  <si>
    <t>WCAG AA</t>
  </si>
  <si>
    <t>Accessibility Reviewer</t>
  </si>
  <si>
    <t>As an accessibility reviewer, I want to meet WCAG 2.2 AA principles for core journeys so that users with access needs can use the service effectively.</t>
  </si>
  <si>
    <t>meet WCAG 2.2 AA principles for core journeys</t>
  </si>
  <si>
    <t>users with access needs can use the service effectively</t>
  </si>
  <si>
    <t>Authorised accessibility reviewer can meet WCAG 2.2 AA principles for core journeys; the expected result is persisted or returned; validation errors are clear; unauthorised access is denied.</t>
  </si>
  <si>
    <t>UI</t>
  </si>
  <si>
    <t>Core flows</t>
  </si>
  <si>
    <t>Accessible design</t>
  </si>
  <si>
    <t>Accessibility test evidence</t>
  </si>
  <si>
    <t>US-236</t>
  </si>
  <si>
    <t>Keyboard navigation</t>
  </si>
  <si>
    <t>As a Teacher, I want to complete core web workflows using a keyboard so that motor or workflow preferences do not require a mouse.</t>
  </si>
  <si>
    <t>complete core web workflows using a keyboard</t>
  </si>
  <si>
    <t>motor or workflow preferences do not require a mouse</t>
  </si>
  <si>
    <t>Authorised teacher can complete core web workflows using a keyboard; the expected result is persisted or returned; validation errors are clear; unauthorised access is denied.</t>
  </si>
  <si>
    <t>Web UI</t>
  </si>
  <si>
    <t>Accessibility test</t>
  </si>
  <si>
    <t>WCAG</t>
  </si>
  <si>
    <t>US-237</t>
  </si>
  <si>
    <t>Screen reader semantics</t>
  </si>
  <si>
    <t>As a Parent / Guardian, I want to use meaningful labels, headings and announcements with assistive technology so that forms and dashboards are understandable with a screen reader.</t>
  </si>
  <si>
    <t>use meaningful labels, headings and announcements with assistive technology</t>
  </si>
  <si>
    <t>forms and dashboards are understandable with a screen reader</t>
  </si>
  <si>
    <t>Authorised parent / guardian can use meaningful labels, headings and announcements with assistive technology; the expected result is persisted or returned; validation errors are clear; unauthorised access is denied.</t>
  </si>
  <si>
    <t>US-238</t>
  </si>
  <si>
    <t>Clear error handling</t>
  </si>
  <si>
    <t>As an authenticated user, I want to receive understandable validation and recovery messages so that mistakes can be corrected without losing work or seeing technical errors.</t>
  </si>
  <si>
    <t>receive understandable validation and recovery messages</t>
  </si>
  <si>
    <t>mistakes can be corrected without losing work or seeing technical errors</t>
  </si>
  <si>
    <t>Authorised all users can receive understandable validation and recovery messages; the expected result is persisted or returned; validation errors are clear; unauthorised access is denied.</t>
  </si>
  <si>
    <t>Form/API error</t>
  </si>
  <si>
    <t>No stack traces to users</t>
  </si>
  <si>
    <t>Error telemetry</t>
  </si>
  <si>
    <t>Frontend/API</t>
  </si>
  <si>
    <t>US-239</t>
  </si>
  <si>
    <t>Consistent design system</t>
  </si>
  <si>
    <t>As a Product / Implementation Team, I want to use a consistent See My Mind design system across roles and devices so that the application feels coherent and is easier to maintain.</t>
  </si>
  <si>
    <t>use a consistent See My Mind design system across roles and devices</t>
  </si>
  <si>
    <t>the application feels coherent and is easier to maintain</t>
  </si>
  <si>
    <t>Authorised product / implementation team can use a consistent See My Mind design system across roles and devices; the expected result is persisted or returned; validation errors are clear; unauthorised access is denied.</t>
  </si>
  <si>
    <t>UI components</t>
  </si>
  <si>
    <t>Development</t>
  </si>
  <si>
    <t>Design review</t>
  </si>
  <si>
    <t>Reference wireframe</t>
  </si>
  <si>
    <t>US-240</t>
  </si>
  <si>
    <t>No Frappe desk exposure</t>
  </si>
  <si>
    <t>As a Parent / Guardian, I want to use a bespoke See My Mind interface rather than generic Frappe administration screens so that the product is simple, branded and role-appropriate.</t>
  </si>
  <si>
    <t>use a bespoke See My Mind interface rather than generic Frappe administration screens</t>
  </si>
  <si>
    <t>the product is simple, branded and role-appropriate</t>
  </si>
  <si>
    <t>Authorised parent / guardian can use a bespoke See My Mind interface rather than generic Frappe administration screens; the expected result is persisted or returned; validation errors are clear; unauthorised access is denied.</t>
  </si>
  <si>
    <t>Custom frontend; Frappe backend</t>
  </si>
  <si>
    <t>Route/role control</t>
  </si>
  <si>
    <t>Custom frontend</t>
  </si>
  <si>
    <t>Reference UI wireframe; Design direction / current project discussion</t>
  </si>
  <si>
    <t>US-241</t>
  </si>
  <si>
    <t>E19</t>
  </si>
  <si>
    <t>Workflow, Automation &amp; Scheduling</t>
  </si>
  <si>
    <t>Canonical child event</t>
  </si>
  <si>
    <t>System / Scheduler</t>
  </si>
  <si>
    <t>As the system, I want to create or link one canonical Child Event for each supported transaction so that all transaction types appear consistently in the shared timeline.</t>
  </si>
  <si>
    <t>create or link one canonical Child Event for each supported transaction</t>
  </si>
  <si>
    <t>all transaction types appear consistently in the shared timeline</t>
  </si>
  <si>
    <t>Authorised system / scheduler can create or link one canonical Child Event for each supported transaction; the expected result is persisted or returned; validation errors are clear; unauthorised access is denied.</t>
  </si>
  <si>
    <t>Child Event; detail tables</t>
  </si>
  <si>
    <t>Transaction create</t>
  </si>
  <si>
    <t>System + initiating user permissions</t>
  </si>
  <si>
    <t>Timeline consistency</t>
  </si>
  <si>
    <t>US-242</t>
  </si>
  <si>
    <t>Observation review workflow</t>
  </si>
  <si>
    <t>As a SENCO / SENDCo, I want to move flagged observations through recorded, under review, action required and closed states so that review status is explicit and reportable.</t>
  </si>
  <si>
    <t>move flagged observations through recorded, under review, action required and closed states</t>
  </si>
  <si>
    <t>review status is explicit and reportable</t>
  </si>
  <si>
    <t>Authorised senco / sendco can move flagged observations through recorded, under review, action required and closed states; the expected result is persisted or returned; validation errors are clear; unauthorised access is denied.</t>
  </si>
  <si>
    <t>Role-based transitions</t>
  </si>
  <si>
    <t>Status report</t>
  </si>
  <si>
    <t>US-243</t>
  </si>
  <si>
    <t>Incident escalation workflow</t>
  </si>
  <si>
    <t>As a Safeguarding Lead / DSL, I want to receive and manage configured incident escalations so that high-risk records enter the correct review path.</t>
  </si>
  <si>
    <t>receive and manage configured incident escalations</t>
  </si>
  <si>
    <t>high-risk records enter the correct review path</t>
  </si>
  <si>
    <t>Authorised safeguarding lead / dsl can receive and manage configured incident escalations; the expected result is persisted or returned; validation errors are clear; unauthorised access is denied.</t>
  </si>
  <si>
    <t>Incident threshold</t>
  </si>
  <si>
    <t>Safeguarding data</t>
  </si>
  <si>
    <t>Restricted workflow</t>
  </si>
  <si>
    <t>US-244</t>
  </si>
  <si>
    <t>EHCP due workflow</t>
  </si>
  <si>
    <t>As a SENCO / SENDCo, I want to create reminders and actions before EHCP review dates so that preparation starts early enough for evidence gathering.</t>
  </si>
  <si>
    <t>create reminders and actions before EHCP review dates</t>
  </si>
  <si>
    <t>preparation starts early enough for evidence gathering</t>
  </si>
  <si>
    <t>Authorised senco / sendco can create reminders and actions before EHCP review dates; the expected result is persisted or returned; validation errors are clear; unauthorised access is denied.</t>
  </si>
  <si>
    <t>Scheduled date</t>
  </si>
  <si>
    <t>Role-scoped</t>
  </si>
  <si>
    <t>Due report</t>
  </si>
  <si>
    <t>US-245</t>
  </si>
  <si>
    <t>Missing handover reminder</t>
  </si>
  <si>
    <t>As a Parent / Guardian, I want to receive an optional reminder if a routine handover has not been submitted so that daily communication is supported without requiring manual chasing.</t>
  </si>
  <si>
    <t>receive an optional reminder if a routine handover has not been submitted</t>
  </si>
  <si>
    <t>daily communication is supported without requiring manual chasing</t>
  </si>
  <si>
    <t>Authorised parent / guardian can receive an optional reminder if a routine handover has not been submitted; the expected result is persisted or returned; validation errors are clear; unauthorised access is denied.</t>
  </si>
  <si>
    <t>Scheduled threshold</t>
  </si>
  <si>
    <t>Guardian-only</t>
  </si>
  <si>
    <t>Reminder report</t>
  </si>
  <si>
    <t>US-246</t>
  </si>
  <si>
    <t>Action overdue workflow</t>
  </si>
  <si>
    <t>As an action owner, I want to receive reminders and escalation for overdue actions so that support commitments are followed through.</t>
  </si>
  <si>
    <t>receive reminders and escalation for overdue actions</t>
  </si>
  <si>
    <t>support commitments are followed through</t>
  </si>
  <si>
    <t>Authorised action owner can receive reminders and escalation for overdue actions; the expected result is persisted or returned; validation errors are clear; unauthorised access is denied.</t>
  </si>
  <si>
    <t>Due date</t>
  </si>
  <si>
    <t>Owner/manager roles</t>
  </si>
  <si>
    <t>US-247</t>
  </si>
  <si>
    <t>Assignment-change workflow</t>
  </si>
  <si>
    <t>As a School Administrator, I want to automatically review entitlements when staff or guardian assignments change so that access changes follow relationship changes promptly.</t>
  </si>
  <si>
    <t>automatically review entitlements when staff or guardian assignments change</t>
  </si>
  <si>
    <t>access changes follow relationship changes promptly</t>
  </si>
  <si>
    <t>Authorised school administrator can automatically review entitlements when staff or guardian assignments change; the expected result is persisted or returned; validation errors are clear; unauthorised access is denied.</t>
  </si>
  <si>
    <t>Child Staff Assignment; Child Guardian Link; User</t>
  </si>
  <si>
    <t>Assignment update</t>
  </si>
  <si>
    <t>Access recalculation</t>
  </si>
  <si>
    <t>Entitlement audit</t>
  </si>
  <si>
    <t>US-248</t>
  </si>
  <si>
    <t>Plan approval workflow</t>
  </si>
  <si>
    <t>As a SENCO / SENDCo, I want to route support plans through configured draft and approval stages so that users know which plan is current and approved.</t>
  </si>
  <si>
    <t>route support plans through configured draft and approval stages</t>
  </si>
  <si>
    <t>users know which plan is current and approved</t>
  </si>
  <si>
    <t>Authorised senco / sendco can route support plans through configured draft and approval stages; the expected result is persisted or returned; validation errors are clear; unauthorised access is denied.</t>
  </si>
  <si>
    <t>State transition</t>
  </si>
  <si>
    <t>US-249</t>
  </si>
  <si>
    <t>Scheduled reports</t>
  </si>
  <si>
    <t>As a School Administrator, I want to schedule approved recurring operational reports so that routine oversight is automated.</t>
  </si>
  <si>
    <t>schedule approved recurring operational reports</t>
  </si>
  <si>
    <t>routine oversight is automated</t>
  </si>
  <si>
    <t>Authorised school administrator can schedule approved recurring operational reports; the expected result is persisted or returned; validation errors are clear; unauthorised access is denied.</t>
  </si>
  <si>
    <t>Report schedule</t>
  </si>
  <si>
    <t>Scheduled job</t>
  </si>
  <si>
    <t>Aggregated data</t>
  </si>
  <si>
    <t>Approved recipients</t>
  </si>
  <si>
    <t>US-250</t>
  </si>
  <si>
    <t>Notification batching</t>
  </si>
  <si>
    <t>As a Platform Administrator, I want to batch low-priority notifications where configured so that users are informed without notification fatigue.</t>
  </si>
  <si>
    <t>batch low-priority notifications where configured</t>
  </si>
  <si>
    <t>users are informed without notification fatigue</t>
  </si>
  <si>
    <t>Authorised platform administrator can batch low-priority notifications where configured; the expected result is persisted or returned; validation errors are clear; unauthorised access is denied.</t>
  </si>
  <si>
    <t>Notification queue</t>
  </si>
  <si>
    <t>Scheduled delivery</t>
  </si>
  <si>
    <t>Preference-aware</t>
  </si>
  <si>
    <t>Delivery metrics</t>
  </si>
  <si>
    <t>US-251</t>
  </si>
  <si>
    <t>Workflow configuration</t>
  </si>
  <si>
    <t>As a Platform Administrator, I want to configure approved workflow thresholds and reminders without code changes so that operational rules can evolve without bespoke development for every change.</t>
  </si>
  <si>
    <t>configure approved workflow thresholds and reminders without code changes</t>
  </si>
  <si>
    <t>operational rules can evolve without bespoke development for every change</t>
  </si>
  <si>
    <t>Authorised platform administrator can configure approved workflow thresholds and reminders without code changes; the expected result is persisted or returned; validation errors are clear; unauthorised access is denied.</t>
  </si>
  <si>
    <t>Workflow config</t>
  </si>
  <si>
    <t>Privileged config</t>
  </si>
  <si>
    <t>Config audit</t>
  </si>
  <si>
    <t>Frappe workflow capabilities</t>
  </si>
  <si>
    <t>US-252</t>
  </si>
  <si>
    <t>Background job resilience</t>
  </si>
  <si>
    <t>As a Platform Administrator, I want to retry or surface failed scheduled jobs safely so that notifications, retention and automation failures are visible rather than silent.</t>
  </si>
  <si>
    <t>retry or surface failed scheduled jobs safely</t>
  </si>
  <si>
    <t>notifications, retention and automation failures are visible rather than silent</t>
  </si>
  <si>
    <t>Authorised platform administrator can retry or surface failed scheduled jobs safely; the expected result is persisted or returned; validation errors are clear; unauthorised access is denied.</t>
  </si>
  <si>
    <t>Job queue</t>
  </si>
  <si>
    <t>Job failure</t>
  </si>
  <si>
    <t>Potentially sensitive metadata</t>
  </si>
  <si>
    <t>Controlled retries</t>
  </si>
  <si>
    <t>Job monitoring</t>
  </si>
  <si>
    <t>Queue infrastructure</t>
  </si>
  <si>
    <t>US-253</t>
  </si>
  <si>
    <t>E20</t>
  </si>
  <si>
    <t>AI, RAG, Explainability &amp; Human Review</t>
  </si>
  <si>
    <t>RAG source ingestion</t>
  </si>
  <si>
    <t>AI Administrator</t>
  </si>
  <si>
    <t>AI / Data</t>
  </si>
  <si>
    <t>As an AI administrator, I want to ingest only approved documents into the RAG source catalogue so that AI retrieval operates on governed source material.</t>
  </si>
  <si>
    <t>ingest only approved documents into the RAG source catalogue</t>
  </si>
  <si>
    <t>AI retrieval operates on governed source material</t>
  </si>
  <si>
    <t>Authorised ai administrator can ingest only approved documents into the RAG source catalogue; the expected result is persisted or returned; validation errors are clear; unauthorised access is denied.</t>
  </si>
  <si>
    <t>RAG Source Document; Child Document</t>
  </si>
  <si>
    <t>Document approval</t>
  </si>
  <si>
    <t>Purpose/consent gate</t>
  </si>
  <si>
    <t>Ingestion audit</t>
  </si>
  <si>
    <t>Data Model v0.1; Design direction / current project discussion</t>
  </si>
  <si>
    <t>AI</t>
  </si>
  <si>
    <t>US-254</t>
  </si>
  <si>
    <t>Chunk indexing</t>
  </si>
  <si>
    <t>AI Service</t>
  </si>
  <si>
    <t>As the AI service, I want to chunk and index approved documents with traceable source identifiers so that retrieved evidence can cite its origin.</t>
  </si>
  <si>
    <t>chunk and index approved documents with traceable source identifiers</t>
  </si>
  <si>
    <t>retrieved evidence can cite its origin</t>
  </si>
  <si>
    <t>Authorised ai service can chunk and index approved documents with traceable source identifiers; the expected result is persisted or returned; validation errors are clear; unauthorised access is denied.</t>
  </si>
  <si>
    <t>RAG Chunk Index; RAG Source Document</t>
  </si>
  <si>
    <t>Ingestion</t>
  </si>
  <si>
    <t>Tenant-scoped index</t>
  </si>
  <si>
    <t>Index audit</t>
  </si>
  <si>
    <t>Vector store</t>
  </si>
  <si>
    <t>US-255</t>
  </si>
  <si>
    <t>Tenant-scoped retrieval</t>
  </si>
  <si>
    <t>As a DPO / Information Governance, I want to enforce tenant and child permissions before AI retrieval so that the model cannot retrieve another school's or unauthorised child's information.</t>
  </si>
  <si>
    <t>enforce tenant and child permissions before AI retrieval</t>
  </si>
  <si>
    <t>the model cannot retrieve another school's or unauthorised child's information</t>
  </si>
  <si>
    <t>Authorised dpo / information governance can enforce tenant and child permissions before AI retrieval; the expected result is persisted or returned; validation errors are clear; unauthorised access is denied.</t>
  </si>
  <si>
    <t>AI gate</t>
  </si>
  <si>
    <t>RAG Chunk Index; User entitlement</t>
  </si>
  <si>
    <t>AI query</t>
  </si>
  <si>
    <t>Pre-retrieval authorisation</t>
  </si>
  <si>
    <t>AI access audit</t>
  </si>
  <si>
    <t>Entitlement model</t>
  </si>
  <si>
    <t>US-256</t>
  </si>
  <si>
    <t>Daily briefing</t>
  </si>
  <si>
    <t>As a Teacher, I want to request an evidence-linked daily briefing for an assigned pupil so that I can absorb relevant recent context quickly.</t>
  </si>
  <si>
    <t>request an evidence-linked daily briefing for an assigned pupil</t>
  </si>
  <si>
    <t>I can absorb relevant recent context quickly</t>
  </si>
  <si>
    <t>Authorised teacher can request an evidence-linked daily briefing for an assigned pupil; the expected result is persisted or returned; validation errors are clear; unauthorised access is denied.</t>
  </si>
  <si>
    <t>AI Run; AI Insight; Child Event</t>
  </si>
  <si>
    <t>User request</t>
  </si>
  <si>
    <t>Assigned staff; human review</t>
  </si>
  <si>
    <t>AI run audit</t>
  </si>
  <si>
    <t>RAG retrieval</t>
  </si>
  <si>
    <t>US-257</t>
  </si>
  <si>
    <t>Strategy suggestion</t>
  </si>
  <si>
    <t>As a Teacher, I want to request a clearly labelled advisory strategy suggestion grounded in approved records so that I can consider possible support approaches without treating AI as authoritative.</t>
  </si>
  <si>
    <t>request a clearly labelled advisory strategy suggestion grounded in approved records</t>
  </si>
  <si>
    <t>I can consider possible support approaches without treating AI as authoritative</t>
  </si>
  <si>
    <t>Authorised teacher can request a clearly labelled advisory strategy suggestion grounded in approved records; the expected result is persisted or returned; validation errors are clear; unauthorised access is denied.</t>
  </si>
  <si>
    <t>AI Insight; AI Insight Evidence</t>
  </si>
  <si>
    <t>Human review; no autonomous action</t>
  </si>
  <si>
    <t>AI evidence audit</t>
  </si>
  <si>
    <t>US-258</t>
  </si>
  <si>
    <t>Pattern alert</t>
  </si>
  <si>
    <t>As a SENCO / SENDCo, I want to receive a reviewable pattern alert supported by cited records so that repeated structured signals can be surfaced without hidden conclusions.</t>
  </si>
  <si>
    <t>receive a reviewable pattern alert supported by cited records</t>
  </si>
  <si>
    <t>repeated structured signals can be surfaced without hidden conclusions</t>
  </si>
  <si>
    <t>Authorised senco / sendco can receive a reviewable pattern alert supported by cited records; the expected result is persisted or returned; validation errors are clear; unauthorised access is denied.</t>
  </si>
  <si>
    <t>AI Insight; AI Insight Evidence; Child Event</t>
  </si>
  <si>
    <t>Scheduled/user request</t>
  </si>
  <si>
    <t>Human review required</t>
  </si>
  <si>
    <t>AI run/evidence audit</t>
  </si>
  <si>
    <t>Sufficient structured data</t>
  </si>
  <si>
    <t>US-259</t>
  </si>
  <si>
    <t>Evidence citations</t>
  </si>
  <si>
    <t>As a Teacher, I want to see the records and document passages supporting every material AI insight so that I can verify the output rather than trusting a black box.</t>
  </si>
  <si>
    <t>see the records and document passages supporting every material AI insight</t>
  </si>
  <si>
    <t>I can verify the output rather than trusting a black box</t>
  </si>
  <si>
    <t>Authorised teacher can see the records and document passages supporting every material AI insight; the expected result is persisted or returned; validation errors are clear; unauthorised access is denied.</t>
  </si>
  <si>
    <t>AI Insight Evidence</t>
  </si>
  <si>
    <t>AI response</t>
  </si>
  <si>
    <t>Entitlement checked for cited source</t>
  </si>
  <si>
    <t>Citation audit</t>
  </si>
  <si>
    <t>RAG source model</t>
  </si>
  <si>
    <t>US-260</t>
  </si>
  <si>
    <t>Human review before sharing</t>
  </si>
  <si>
    <t>As a SENCO / SENDCo, I want to approve or edit AI-generated text before it is shared with guardians so that unreviewed AI content does not become official school communication.</t>
  </si>
  <si>
    <t>approve or edit AI-generated text before it is shared with guardians</t>
  </si>
  <si>
    <t>unreviewed AI content does not become official school communication</t>
  </si>
  <si>
    <t>Authorised senco / sendco can approve or edit AI-generated text before it is shared with guardians; the expected result is persisted or returned; validation errors are clear; unauthorised access is denied.</t>
  </si>
  <si>
    <t>AI Insight; Message</t>
  </si>
  <si>
    <t>Share AI output</t>
  </si>
  <si>
    <t>Review state and approver</t>
  </si>
  <si>
    <t>Approval audit</t>
  </si>
  <si>
    <t>AI insight workflow</t>
  </si>
  <si>
    <t>US-261</t>
  </si>
  <si>
    <t>No diagnosis</t>
  </si>
  <si>
    <t>As a Parent / Guardian, I want to see clear boundaries that AI does not diagnose or make clinical claims so that I am not misled about the status of generated suggestions.</t>
  </si>
  <si>
    <t>see clear boundaries that AI does not diagnose or make clinical claims</t>
  </si>
  <si>
    <t>I am not misled about the status of generated suggestions</t>
  </si>
  <si>
    <t>Authorised parent / guardian can see clear boundaries that AI does not diagnose or make clinical claims; the expected result is persisted or returned; validation errors are clear; unauthorised access is denied.</t>
  </si>
  <si>
    <t>AI Insight</t>
  </si>
  <si>
    <t>AI display</t>
  </si>
  <si>
    <t>Health/special category data</t>
  </si>
  <si>
    <t>Prompt/output guardrails</t>
  </si>
  <si>
    <t>Safety test evidence</t>
  </si>
  <si>
    <t>AI policy</t>
  </si>
  <si>
    <t>US-262</t>
  </si>
  <si>
    <t>Model and prompt audit</t>
  </si>
  <si>
    <t>As an auditor / information governance reviewer, I want to record model, prompt version, requester, timing and status for AI runs so that generated outputs can be reconstructed and governed.</t>
  </si>
  <si>
    <t>record model, prompt version, requester, timing and status for AI runs</t>
  </si>
  <si>
    <t>generated outputs can be reconstructed and governed</t>
  </si>
  <si>
    <t>Authorised auditor / information governance can record model, prompt version, requester, timing and status for AI runs; the expected result is persisted or returned; validation errors are clear; unauthorised access is denied.</t>
  </si>
  <si>
    <t>AI Run</t>
  </si>
  <si>
    <t>AI execution</t>
  </si>
  <si>
    <t>Restricted audit access</t>
  </si>
  <si>
    <t>AI run log</t>
  </si>
  <si>
    <t>AI service</t>
  </si>
  <si>
    <t>US-263</t>
  </si>
  <si>
    <t>Source freshness</t>
  </si>
  <si>
    <t>As the AI service, I want to detect superseded or stale documents in the retrieval corpus so that AI is less likely to quote obsolete support guidance.</t>
  </si>
  <si>
    <t>detect superseded or stale documents in the retrieval corpus</t>
  </si>
  <si>
    <t>AI is less likely to quote obsolete support guidance</t>
  </si>
  <si>
    <t>Authorised ai service can detect superseded or stale documents in the retrieval corpus; the expected result is persisted or returned; validation errors are clear; unauthorised access is denied.</t>
  </si>
  <si>
    <t>RAG Source Document</t>
  </si>
  <si>
    <t>Document update</t>
  </si>
  <si>
    <t>Version-aware index</t>
  </si>
  <si>
    <t>Stale-source report</t>
  </si>
  <si>
    <t>US-264</t>
  </si>
  <si>
    <t>AI feedback</t>
  </si>
  <si>
    <t>As a Teacher, I want to mark an AI insight as useful, incorrect or unsafe and add a reason so that quality issues can be reviewed and prompts improved.</t>
  </si>
  <si>
    <t>mark an AI insight as useful, incorrect or unsafe and add a reason</t>
  </si>
  <si>
    <t>quality issues can be reviewed and prompts improved</t>
  </si>
  <si>
    <t>Authorised teacher can mark an AI insight as useful, incorrect or unsafe and add a reason; the expected result is persisted or returned; validation errors are clear; unauthorised access is denied.</t>
  </si>
  <si>
    <t>AI Insight; AI Feedback</t>
  </si>
  <si>
    <t>Feedback</t>
  </si>
  <si>
    <t>Entitled reviewer</t>
  </si>
  <si>
    <t>Quality dashboard</t>
  </si>
  <si>
    <t>AI insight</t>
  </si>
  <si>
    <t>US-265</t>
  </si>
  <si>
    <t>AI opt-out</t>
  </si>
  <si>
    <t>As a DPO / Information Governance, I want to disable AI processing for a tenant, child or purpose where policy requires so that core product operation does not depend on optional AI.</t>
  </si>
  <si>
    <t>disable AI processing for a tenant, child or purpose where policy requires</t>
  </si>
  <si>
    <t>core product operation does not depend on optional AI</t>
  </si>
  <si>
    <t>Authorised dpo / information governance can disable AI processing for a tenant, child or purpose where policy requires; the expected result is persisted or returned; validation errors are clear; unauthorised access is denied.</t>
  </si>
  <si>
    <t>Consent Record; AI config</t>
  </si>
  <si>
    <t>AI request</t>
  </si>
  <si>
    <t>Pre-run policy check</t>
  </si>
  <si>
    <t>Opt-out audit</t>
  </si>
  <si>
    <t>US-266</t>
  </si>
  <si>
    <t>AI data minimisation</t>
  </si>
  <si>
    <t>As an AI administrator, I want to send only the minimum authorised context required for an AI task so that model providers do not receive unrelated child information.</t>
  </si>
  <si>
    <t>send only the minimum authorised context required for an AI task</t>
  </si>
  <si>
    <t>model providers do not receive unrelated child information</t>
  </si>
  <si>
    <t>Authorised ai administrator can send only the minimum authorised context required for an AI task; the expected result is persisted or returned; validation errors are clear; unauthorised access is denied.</t>
  </si>
  <si>
    <t>Context minimisation</t>
  </si>
  <si>
    <t>AI payload audit metadata</t>
  </si>
  <si>
    <t>AI architecture</t>
  </si>
  <si>
    <t>US-267</t>
  </si>
  <si>
    <t>No automatic intervention</t>
  </si>
  <si>
    <t>As a Product Owner, I want to prevent AI output from directly changing plans, permissions or interventions without human action so that generated suggestions remain advisory.</t>
  </si>
  <si>
    <t>prevent AI output from directly changing plans, permissions or interventions without human action</t>
  </si>
  <si>
    <t>generated suggestions remain advisory</t>
  </si>
  <si>
    <t>Authorised product owner can prevent AI output from directly changing plans, permissions or interventions without human action; the expected result is persisted or returned; validation errors are clear; unauthorised access is denied.</t>
  </si>
  <si>
    <t>AI Insight; Child Plan; Child Support Strategy</t>
  </si>
  <si>
    <t>AI output</t>
  </si>
  <si>
    <t>No autonomous write path</t>
  </si>
  <si>
    <t>US-268</t>
  </si>
  <si>
    <t>RAG evaluation</t>
  </si>
  <si>
    <t>As a Product / Implementation Team, I want to evaluate retrieval precision, grounding and citation quality using representative test cases so that the RAG approach can be assessed before relying on it in school workflows.</t>
  </si>
  <si>
    <t>evaluate retrieval precision, grounding and citation quality using representative test cases</t>
  </si>
  <si>
    <t>the RAG approach can be assessed before relying on it in school workflows</t>
  </si>
  <si>
    <t>Authorised product / implementation team can evaluate retrieval precision, grounding and citation quality using representative test cases; the expected result is persisted or returned; validation errors are clear; unauthorised access is denied.</t>
  </si>
  <si>
    <t>RAG test set; AI Run</t>
  </si>
  <si>
    <t>Test/synthetic data</t>
  </si>
  <si>
    <t>Controlled evaluation</t>
  </si>
  <si>
    <t>Evaluation report</t>
  </si>
  <si>
    <t>RAG prototype</t>
  </si>
  <si>
    <t>US-269</t>
  </si>
  <si>
    <t>AI cost controls</t>
  </si>
  <si>
    <t>As a Platform Administrator, I want to monitor and cap AI usage by tenant or feature so that optional AI does not create uncontrolled operating cost.</t>
  </si>
  <si>
    <t>monitor and cap AI usage by tenant or feature</t>
  </si>
  <si>
    <t>optional AI does not create uncontrolled operating cost</t>
  </si>
  <si>
    <t>Authorised platform administrator can monitor and cap AI usage by tenant or feature; the expected result is persisted or returned; validation errors are clear; unauthorised access is denied.</t>
  </si>
  <si>
    <t>Usage metadata</t>
  </si>
  <si>
    <t>Quota/rate controls</t>
  </si>
  <si>
    <t>Cost report</t>
  </si>
  <si>
    <t>AI provider</t>
  </si>
  <si>
    <t>US-270</t>
  </si>
  <si>
    <t>E21</t>
  </si>
  <si>
    <t>External Professionals &amp; Restricted Collaboration</t>
  </si>
  <si>
    <t>Professional record</t>
  </si>
  <si>
    <t>As a SENCO / SENDCo, I want to record an external professional and organisation so that approved professional relationships can be managed explicitly.</t>
  </si>
  <si>
    <t>record an external professional and organisation</t>
  </si>
  <si>
    <t>approved professional relationships can be managed explicitly</t>
  </si>
  <si>
    <t>Authorised senco / sendco can record an external professional and organisation; the expected result is persisted or returned; validation errors are clear; unauthorised access is denied.</t>
  </si>
  <si>
    <t>External Professional</t>
  </si>
  <si>
    <t>Create professional</t>
  </si>
  <si>
    <t>Professional contact data</t>
  </si>
  <si>
    <t>SEND/admin edit</t>
  </si>
  <si>
    <t>External professional model</t>
  </si>
  <si>
    <t>US-271</t>
  </si>
  <si>
    <t>Child professional assignment</t>
  </si>
  <si>
    <t>As a SENCO / SENDCo, I want to assign an external professional to a specific child with dates and scope so that external access is limited to an explicit relationship.</t>
  </si>
  <si>
    <t>assign an external professional to a specific child with dates and scope</t>
  </si>
  <si>
    <t>external access is limited to an explicit relationship</t>
  </si>
  <si>
    <t>Authorised senco / sendco can assign an external professional to a specific child with dates and scope; the expected result is persisted or returned; validation errors are clear; unauthorised access is denied.</t>
  </si>
  <si>
    <t>Child Professional Assignment</t>
  </si>
  <si>
    <t>Object entitlement; expiry</t>
  </si>
  <si>
    <t>Consent/authority</t>
  </si>
  <si>
    <t>US-272</t>
  </si>
  <si>
    <t>Professional read-only access</t>
  </si>
  <si>
    <t>External</t>
  </si>
  <si>
    <t>As an external professional, I want to view only the child information explicitly shared for my assignment so that I can contribute to agreed support without broad school access.</t>
  </si>
  <si>
    <t>view only the child information explicitly shared for my assignment</t>
  </si>
  <si>
    <t>I can contribute to agreed support without broad school access</t>
  </si>
  <si>
    <t>Authorised external professional can view only the child information explicitly shared for my assignment; the expected result is persisted or returned; validation errors are clear; unauthorised access is denied.</t>
  </si>
  <si>
    <t>Child Professional Assignment; Child Event; Child Plan</t>
  </si>
  <si>
    <t>Login/view</t>
  </si>
  <si>
    <t>Restricted read-only entitlement</t>
  </si>
  <si>
    <t>External identity</t>
  </si>
  <si>
    <t>US-273</t>
  </si>
  <si>
    <t>Professional contribution</t>
  </si>
  <si>
    <t>As an external professional, I want to submit an agreed observation or document for school review so that relevant professional evidence can enter the record through a governed path.</t>
  </si>
  <si>
    <t>submit an agreed observation or document for school review</t>
  </si>
  <si>
    <t>relevant professional evidence can enter the record through a governed path</t>
  </si>
  <si>
    <t>Authorised external professional can submit an agreed observation or document for school review; the expected result is persisted or returned; validation errors are clear; unauthorised access is denied.</t>
  </si>
  <si>
    <t>Observation; Child Document</t>
  </si>
  <si>
    <t>Submit for review</t>
  </si>
  <si>
    <t>Review-before-publish</t>
  </si>
  <si>
    <t>Submission audit</t>
  </si>
  <si>
    <t>Professional access</t>
  </si>
  <si>
    <t>US-274</t>
  </si>
  <si>
    <t>Access expiry</t>
  </si>
  <si>
    <t>As the system, I want to expire professional access automatically at the assignment end date so that temporary access does not persist indefinitely.</t>
  </si>
  <si>
    <t>expire professional access automatically at the assignment end date</t>
  </si>
  <si>
    <t>temporary access does not persist indefinitely</t>
  </si>
  <si>
    <t>Authorised system / scheduler can expire professional access automatically at the assignment end date; the expected result is persisted or returned; validation errors are clear; unauthorised access is denied.</t>
  </si>
  <si>
    <t>External phase</t>
  </si>
  <si>
    <t>Child Professional Assignment; User</t>
  </si>
  <si>
    <t>Scheduled expiry</t>
  </si>
  <si>
    <t>Automatic deactivation</t>
  </si>
  <si>
    <t>Expiry audit</t>
  </si>
  <si>
    <t>Assignment dates</t>
  </si>
  <si>
    <t>US-275</t>
  </si>
  <si>
    <t>Revoke professional access</t>
  </si>
  <si>
    <t>As a SENCO / SENDCo, I want to revoke external access immediately so that changed professional relationships are reflected without delay.</t>
  </si>
  <si>
    <t>revoke external access immediately</t>
  </si>
  <si>
    <t>changed professional relationships are reflected without delay</t>
  </si>
  <si>
    <t>Authorised senco / sendco can revoke external access immediately; the expected result is persisted or returned; validation errors are clear; unauthorised access is denied.</t>
  </si>
  <si>
    <t>Revocation</t>
  </si>
  <si>
    <t>Immediate session/token revocation</t>
  </si>
  <si>
    <t>US-276</t>
  </si>
  <si>
    <t>External professional export</t>
  </si>
  <si>
    <t>As an external professional, I want to export only records explicitly shared for the agreed purpose so that collaboration does not become unrestricted data portability.</t>
  </si>
  <si>
    <t>export only records explicitly shared for the agreed purpose</t>
  </si>
  <si>
    <t>collaboration does not become unrestricted data portability</t>
  </si>
  <si>
    <t>Authorised external professional can export only records explicitly shared for the agreed purpose; the expected result is persisted or returned; validation errors are clear; unauthorised access is denied.</t>
  </si>
  <si>
    <t>Selected child data</t>
  </si>
  <si>
    <t>Scope/consent controls</t>
  </si>
  <si>
    <t>US-277</t>
  </si>
  <si>
    <t>Researcher operational access</t>
  </si>
  <si>
    <t>As a Research / Analytics Partner, I want to browse identifiable operational child records for exploratory research so that I can analyse the richest possible dataset directly.</t>
  </si>
  <si>
    <t>browse identifiable operational child records for exploratory research</t>
  </si>
  <si>
    <t>I can analyse the richest possible dataset directly</t>
  </si>
  <si>
    <t>Authorised research / analytics partner can browse identifiable operational child records for exploratory research; the expected result is persisted or returned; validation errors are clear; unauthorised access is denied.</t>
  </si>
  <si>
    <t>Operational child data</t>
  </si>
  <si>
    <t>Research access</t>
  </si>
  <si>
    <t>Explicitly excluded; use de-identified datasets</t>
  </si>
  <si>
    <t>Research governance</t>
  </si>
  <si>
    <t>US-278</t>
  </si>
  <si>
    <t>E22</t>
  </si>
  <si>
    <t>Learning, Subjects &amp; Worksheets</t>
  </si>
  <si>
    <t>Subject catalogue</t>
  </si>
  <si>
    <t>As a School Administrator, I want to maintain subjects used for learning observations and worksheets so that learning evidence can be grouped consistently.</t>
  </si>
  <si>
    <t>maintain subjects used for learning observations and worksheets</t>
  </si>
  <si>
    <t>learning evidence can be grouped consistently</t>
  </si>
  <si>
    <t>Authorised school administrator can maintain subjects used for learning observations and worksheets; the expected result is persisted or returned; validation errors are clear; unauthorised access is denied.</t>
  </si>
  <si>
    <t>Subject</t>
  </si>
  <si>
    <t>US-279</t>
  </si>
  <si>
    <t>Child subject context</t>
  </si>
  <si>
    <t>As a Teacher, I want to associate relevant subject context with a child so that learning activity can be organised by subject where useful.</t>
  </si>
  <si>
    <t>associate relevant subject context with a child</t>
  </si>
  <si>
    <t>learning activity can be organised by subject where useful</t>
  </si>
  <si>
    <t>Authorised teacher can associate relevant subject context with a child; the expected result is persisted or returned; validation errors are clear; unauthorised access is denied.</t>
  </si>
  <si>
    <t>Child Subject</t>
  </si>
  <si>
    <t>Subject report</t>
  </si>
  <si>
    <t>US-280</t>
  </si>
  <si>
    <t>Worksheet library</t>
  </si>
  <si>
    <t>As a Teacher, I want to store reusable learning worksheets or activities so that adapted resources can be managed within the child's learning context.</t>
  </si>
  <si>
    <t>store reusable learning worksheets or activities</t>
  </si>
  <si>
    <t>adapted resources can be managed within the child's learning context</t>
  </si>
  <si>
    <t>Authorised teacher can store reusable learning worksheets or activities; the expected result is persisted or returned; validation errors are clear; unauthorised access is denied.</t>
  </si>
  <si>
    <t>Learning Worksheet</t>
  </si>
  <si>
    <t>Create/upload</t>
  </si>
  <si>
    <t>Education content</t>
  </si>
  <si>
    <t>Staff-only authoring</t>
  </si>
  <si>
    <t>US-281</t>
  </si>
  <si>
    <t>Worksheet assignment</t>
  </si>
  <si>
    <t>As a Teacher, I want to assign a worksheet to a child with adaptation notes and due date so that home or school practice can be tracked.</t>
  </si>
  <si>
    <t>assign a worksheet to a child with adaptation notes and due date</t>
  </si>
  <si>
    <t>home or school practice can be tracked</t>
  </si>
  <si>
    <t>Authorised teacher can assign a worksheet to a child with adaptation notes and due date; the expected result is persisted or returned; validation errors are clear; unauthorised access is denied.</t>
  </si>
  <si>
    <t>Worksheet Assignment</t>
  </si>
  <si>
    <t>Assign</t>
  </si>
  <si>
    <t>Assignment report</t>
  </si>
  <si>
    <t>US-282</t>
  </si>
  <si>
    <t>Child worksheet view</t>
  </si>
  <si>
    <t>As a Child, I want to open assigned worksheets in an accessible format so that I can complete work through an adapted route.</t>
  </si>
  <si>
    <t>open assigned worksheets in an accessible format</t>
  </si>
  <si>
    <t>I can complete work through an adapted route</t>
  </si>
  <si>
    <t>Authorised child can open assigned worksheets in an accessible format; the expected result is persisted or returned; validation errors are clear; unauthorised access is denied.</t>
  </si>
  <si>
    <t>Worksheet Assignment; Learning Worksheet</t>
  </si>
  <si>
    <t>Open worksheet</t>
  </si>
  <si>
    <t>Self-only</t>
  </si>
  <si>
    <t>Progress metrics</t>
  </si>
  <si>
    <t>Worksheet feature</t>
  </si>
  <si>
    <t>US-283</t>
  </si>
  <si>
    <t>Parent home-practice view</t>
  </si>
  <si>
    <t>As a Parent / Guardian, I want to see worksheets marked for home practice so that I know what the child can work on at home.</t>
  </si>
  <si>
    <t>see worksheets marked for home practice</t>
  </si>
  <si>
    <t>I know what the child can work on at home</t>
  </si>
  <si>
    <t>Authorised parent / guardian can see worksheets marked for home practice; the expected result is persisted or returned; validation errors are clear; unauthorised access is denied.</t>
  </si>
  <si>
    <t>Open assignment</t>
  </si>
  <si>
    <t>Usage</t>
  </si>
  <si>
    <t>US-284</t>
  </si>
  <si>
    <t>Worksheet progress</t>
  </si>
  <si>
    <t>As a Teacher, I want to record progress, score or milestone for an assigned worksheet so that learning progression can feed the broader evidence picture.</t>
  </si>
  <si>
    <t>record progress, score or milestone for an assigned worksheet</t>
  </si>
  <si>
    <t>learning progression can feed the broader evidence picture</t>
  </si>
  <si>
    <t>Authorised teacher can record progress, score or milestone for an assigned worksheet; the expected result is persisted or returned; validation errors are clear; unauthorised access is denied.</t>
  </si>
  <si>
    <t>Worksheet Progress</t>
  </si>
  <si>
    <t>Progress update</t>
  </si>
  <si>
    <t>Progress report</t>
  </si>
  <si>
    <t>US-285</t>
  </si>
  <si>
    <t>AI worksheet generation</t>
  </si>
  <si>
    <t>As a Teacher, I want to request an adapted worksheet draft grounded in approved learning context so that resource creation may be accelerated while retaining teacher review.</t>
  </si>
  <si>
    <t>request an adapted worksheet draft grounded in approved learning context</t>
  </si>
  <si>
    <t>resource creation may be accelerated while retaining teacher review</t>
  </si>
  <si>
    <t>Authorised teacher can request an adapted worksheet draft grounded in approved learning context; the expected result is persisted or returned; validation errors are clear; unauthorised access is denied.</t>
  </si>
  <si>
    <t>Learning Worksheet; AI Run</t>
  </si>
  <si>
    <t>AI generation</t>
  </si>
  <si>
    <t>Sensitive child/learning data</t>
  </si>
  <si>
    <t>Human review; minimal context</t>
  </si>
  <si>
    <t>AI audit</t>
  </si>
  <si>
    <t>AI/RAG</t>
  </si>
  <si>
    <t>US-286</t>
  </si>
  <si>
    <t>E23</t>
  </si>
  <si>
    <t>Parent Plus &amp; Careers</t>
  </si>
  <si>
    <t>Separate subscription</t>
  </si>
  <si>
    <t>As a Parent / Guardian, I want to opt into and manage Parent Plus separately from core school support so that commercial participation is clearly optional.</t>
  </si>
  <si>
    <t>opt into and manage Parent Plus separately from core school support</t>
  </si>
  <si>
    <t>commercial participation is clearly optional</t>
  </si>
  <si>
    <t>Authorised parent / guardian can opt into and manage Parent Plus separately from core school support; the expected result is persisted or returned; validation errors are clear; unauthorised access is denied.</t>
  </si>
  <si>
    <t>Parent Plus Subscription</t>
  </si>
  <si>
    <t>Subscribe/cancel</t>
  </si>
  <si>
    <t>Guardian/child data</t>
  </si>
  <si>
    <t>Separate entitlement</t>
  </si>
  <si>
    <t>Subscription audit</t>
  </si>
  <si>
    <t>US-287</t>
  </si>
  <si>
    <t>Career profile</t>
  </si>
  <si>
    <t>As a Child, I want to build an opt-in strengths and interests career profile so that I can explore future pathways using evidence and my own preferences.</t>
  </si>
  <si>
    <t>build an opt-in strengths and interests career profile</t>
  </si>
  <si>
    <t>I can explore future pathways using evidence and my own preferences</t>
  </si>
  <si>
    <t>Authorised child can build an opt-in strengths and interests career profile; the expected result is persisted or returned; validation errors are clear; unauthorised access is denied.</t>
  </si>
  <si>
    <t>Career Profile; Child Strength</t>
  </si>
  <si>
    <t>Profile build</t>
  </si>
  <si>
    <t>Child profile data</t>
  </si>
  <si>
    <t>Self/guardian consent rules</t>
  </si>
  <si>
    <t>US-288</t>
  </si>
  <si>
    <t>RIASEC questionnaire</t>
  </si>
  <si>
    <t>As a Child, I want to complete an optional structured interests questionnaire so that the careers profile includes my own stated interests rather than only inferred data.</t>
  </si>
  <si>
    <t>complete an optional structured interests questionnaire</t>
  </si>
  <si>
    <t>the careers profile includes my own stated interests rather than only inferred data</t>
  </si>
  <si>
    <t>Authorised child can complete an optional structured interests questionnaire; the expected result is persisted or returned; validation errors are clear; unauthorised access is denied.</t>
  </si>
  <si>
    <t>Career Profile</t>
  </si>
  <si>
    <t>Questionnaire</t>
  </si>
  <si>
    <t>Explicit opt-in</t>
  </si>
  <si>
    <t>Assessment history</t>
  </si>
  <si>
    <t>US-289</t>
  </si>
  <si>
    <t>Career matches</t>
  </si>
  <si>
    <t>As a Child, I want to see ranked career possibilities with evidence and caveats so that I can explore options without treating one score as destiny.</t>
  </si>
  <si>
    <t>see ranked career possibilities with evidence and caveats</t>
  </si>
  <si>
    <t>I can explore options without treating one score as destiny</t>
  </si>
  <si>
    <t>Authorised child can see ranked career possibilities with evidence and caveats; the expected result is persisted or returned; validation errors are clear; unauthorised access is denied.</t>
  </si>
  <si>
    <t>Career Match; Career Profile</t>
  </si>
  <si>
    <t>Generate/view matches</t>
  </si>
  <si>
    <t>Explainable ranking; human agency</t>
  </si>
  <si>
    <t>Match audit</t>
  </si>
  <si>
    <t>Career data service</t>
  </si>
  <si>
    <t>US-290</t>
  </si>
  <si>
    <t>Career library</t>
  </si>
  <si>
    <t>As a Child, I want to browse a wider careers library beyond top matches so that I can explore paths outside the algorithm's highest-ranked suggestions.</t>
  </si>
  <si>
    <t>browse a wider careers library beyond top matches</t>
  </si>
  <si>
    <t>I can explore paths outside the algorithm's highest-ranked suggestions</t>
  </si>
  <si>
    <t>Authorised child can browse a wider careers library beyond top matches; the expected result is persisted or returned; validation errors are clear; unauthorised access is denied.</t>
  </si>
  <si>
    <t>Career Library</t>
  </si>
  <si>
    <t>Browse</t>
  </si>
  <si>
    <t>Low sensitivity</t>
  </si>
  <si>
    <t>Self/guardian access</t>
  </si>
  <si>
    <t>US-291</t>
  </si>
  <si>
    <t>Pathway milestones</t>
  </si>
  <si>
    <t>Careers Lead</t>
  </si>
  <si>
    <t>As a Careers Lead, I want to record GCSE, post-16 and post-18 pathway milestones so that career planning can be translated into concrete next steps.</t>
  </si>
  <si>
    <t>record GCSE, post-16 and post-18 pathway milestones</t>
  </si>
  <si>
    <t>career planning can be translated into concrete next steps</t>
  </si>
  <si>
    <t>Authorised careers lead can record GCSE, post-16 and post-18 pathway milestones; the expected result is persisted or returned; validation errors are clear; unauthorised access is denied.</t>
  </si>
  <si>
    <t>Career Pathway Milestone</t>
  </si>
  <si>
    <t>Education/career data</t>
  </si>
  <si>
    <t>Entitled staff</t>
  </si>
  <si>
    <t>Milestone report</t>
  </si>
  <si>
    <t>US-292</t>
  </si>
  <si>
    <t>Careers lead access</t>
  </si>
  <si>
    <t>As a Careers Lead, I want to receive approved read-only access to Parent Plus information where the family opts in so that school careers support can use the same evidence with permission.</t>
  </si>
  <si>
    <t>receive approved read-only access to Parent Plus information where the family opts in</t>
  </si>
  <si>
    <t>school careers support can use the same evidence with permission</t>
  </si>
  <si>
    <t>Authorised careers lead can receive approved read-only access to Parent Plus information where the family opts in; the expected result is persisted or returned; validation errors are clear; unauthorised access is denied.</t>
  </si>
  <si>
    <t>Career Profile; Consent Record</t>
  </si>
  <si>
    <t>Access grant</t>
  </si>
  <si>
    <t>Separate consent and role</t>
  </si>
  <si>
    <t>Parent Plus consent</t>
  </si>
  <si>
    <t>US-293</t>
  </si>
  <si>
    <t>Personal statement support</t>
  </si>
  <si>
    <t>As a Child, I want to draft a personal statement using selected evidence from my history so that I can turn specific achievements into application material.</t>
  </si>
  <si>
    <t>draft a personal statement using selected evidence from my history</t>
  </si>
  <si>
    <t>I can turn specific achievements into application material</t>
  </si>
  <si>
    <t>Authorised child can draft a personal statement using selected evidence from my history; the expected result is persisted or returned; validation errors are clear; unauthorised access is denied.</t>
  </si>
  <si>
    <t>Career Profile; Child Strength; AI Run</t>
  </si>
  <si>
    <t>Draft generation</t>
  </si>
  <si>
    <t>User selects evidence; human review</t>
  </si>
  <si>
    <t>Parent Plus + AI</t>
  </si>
  <si>
    <t>US-294</t>
  </si>
  <si>
    <t>Current labour-market data</t>
  </si>
  <si>
    <t>As a Parent / Guardian, I want to see dated and sourced salary, route and sector information so that career discussions use current information rather than unsupported figures.</t>
  </si>
  <si>
    <t>see dated and sourced salary, route and sector information</t>
  </si>
  <si>
    <t>career discussions use current information rather than unsupported figures</t>
  </si>
  <si>
    <t>Authorised parent / guardian can see dated and sourced salary, route and sector information; the expected result is persisted or returned; validation errors are clear; unauthorised access is denied.</t>
  </si>
  <si>
    <t>Career Match; External data</t>
  </si>
  <si>
    <t>Data refresh</t>
  </si>
  <si>
    <t>Low/medium sensitivity</t>
  </si>
  <si>
    <t>Source attribution</t>
  </si>
  <si>
    <t>Source/date audit</t>
  </si>
  <si>
    <t>External careers data</t>
  </si>
  <si>
    <t>US-295</t>
  </si>
  <si>
    <t>No deterministic career verdict</t>
  </si>
  <si>
    <t>As a Product Owner, I want to avoid presenting career matches as definitive predictions about a child so that career guidance supports exploration rather than narrowing opportunity.</t>
  </si>
  <si>
    <t>avoid presenting career matches as definitive predictions about a child</t>
  </si>
  <si>
    <t>career guidance supports exploration rather than narrowing opportunity</t>
  </si>
  <si>
    <t>Authorised product owner can avoid presenting career matches as definitive predictions about a child; the expected result is persisted or returned; validation errors are clear; unauthorised access is denied.</t>
  </si>
  <si>
    <t>Career Match</t>
  </si>
  <si>
    <t>Display</t>
  </si>
  <si>
    <t>UX/AI guardrails</t>
  </si>
  <si>
    <t>Parent Plus design</t>
  </si>
  <si>
    <t>US-296</t>
  </si>
  <si>
    <t>E24</t>
  </si>
  <si>
    <t>Operations, Reliability, Backup &amp; Performance</t>
  </si>
  <si>
    <t>Production database</t>
  </si>
  <si>
    <t>As a Platform Administrator, I want to run production on a supported transactional database configuration so that concurrent school usage is reliable and supportable.</t>
  </si>
  <si>
    <t>run production on a supported transactional database configuration</t>
  </si>
  <si>
    <t>concurrent school usage is reliable and supportable</t>
  </si>
  <si>
    <t>Authorised platform administrator can run production on a supported transactional database configuration; the expected result is persisted or returned; validation errors are clear; unauthorised access is denied.</t>
  </si>
  <si>
    <t>MariaDB/Frappe database</t>
  </si>
  <si>
    <t>Managed DB; least privilege</t>
  </si>
  <si>
    <t>DB monitoring</t>
  </si>
  <si>
    <t>Frappe infrastructure</t>
  </si>
  <si>
    <t>US-297</t>
  </si>
  <si>
    <t>Automated backup</t>
  </si>
  <si>
    <t>As a Platform Administrator, I want to take automated encrypted backups of database and files so that data can be recovered after operational failure.</t>
  </si>
  <si>
    <t>take automated encrypted backups of database and files</t>
  </si>
  <si>
    <t>data can be recovered after operational failure</t>
  </si>
  <si>
    <t>Authorised platform administrator can take automated encrypted backups of database and files; the expected result is persisted or returned; validation errors are clear; unauthorised access is denied.</t>
  </si>
  <si>
    <t>Database; File storage</t>
  </si>
  <si>
    <t>Scheduled backup</t>
  </si>
  <si>
    <t>Encrypted backup; restricted access</t>
  </si>
  <si>
    <t>Backup job report</t>
  </si>
  <si>
    <t>Hosting</t>
  </si>
  <si>
    <t>US-298</t>
  </si>
  <si>
    <t>Restore test</t>
  </si>
  <si>
    <t>As a Platform Administrator, I want to regularly test restoration into a controlled environment so that backup success is proven rather than assumed.</t>
  </si>
  <si>
    <t>regularly test restoration into a controlled environment</t>
  </si>
  <si>
    <t>backup success is proven rather than assumed</t>
  </si>
  <si>
    <t>Authorised platform administrator can regularly test restoration into a controlled environment; the expected result is persisted or returned; validation errors are clear; unauthorised access is denied.</t>
  </si>
  <si>
    <t>Backup artefacts</t>
  </si>
  <si>
    <t>Recovery test</t>
  </si>
  <si>
    <t>Restricted restore environment</t>
  </si>
  <si>
    <t>Restore test evidence</t>
  </si>
  <si>
    <t>Backup process</t>
  </si>
  <si>
    <t>US-299</t>
  </si>
  <si>
    <t>RPO/RTO</t>
  </si>
  <si>
    <t>As a School Leadership, I want to understand agreed recovery point and recovery time objectives so that the service's resilience can be assessed against school needs.</t>
  </si>
  <si>
    <t>understand agreed recovery point and recovery time objectives</t>
  </si>
  <si>
    <t>the service's resilience can be assessed against school needs</t>
  </si>
  <si>
    <t>Authorised school leadership can understand agreed recovery point and recovery time objectives; the expected result is persisted or returned; validation errors are clear; unauthorised access is denied.</t>
  </si>
  <si>
    <t>Service level metadata</t>
  </si>
  <si>
    <t>Contract/operations</t>
  </si>
  <si>
    <t>Documented service objectives</t>
  </si>
  <si>
    <t>Availability report</t>
  </si>
  <si>
    <t>Backup/hosting</t>
  </si>
  <si>
    <t>US-300</t>
  </si>
  <si>
    <t>Application monitoring</t>
  </si>
  <si>
    <t>As a Support Analyst, I want to monitor uptime, error rate, queue health and API performance so that service issues can be detected before widespread user reports.</t>
  </si>
  <si>
    <t>monitor uptime, error rate, queue health and API performance</t>
  </si>
  <si>
    <t>service issues can be detected before widespread user reports</t>
  </si>
  <si>
    <t>Authorised support analyst can monitor uptime, error rate, queue health and API performance; the expected result is persisted or returned; validation errors are clear; unauthorised access is denied.</t>
  </si>
  <si>
    <t>Runtime</t>
  </si>
  <si>
    <t>No child content in metrics</t>
  </si>
  <si>
    <t>Operational access</t>
  </si>
  <si>
    <t>Monitoring dashboards</t>
  </si>
  <si>
    <t>Observability stack</t>
  </si>
  <si>
    <t>US-301</t>
  </si>
  <si>
    <t>Alerting</t>
  </si>
  <si>
    <t>As a Support Analyst, I want to receive alerts for material service or security failures so that critical issues can be triaged promptly.</t>
  </si>
  <si>
    <t>receive alerts for material service or security failures</t>
  </si>
  <si>
    <t>critical issues can be triaged promptly</t>
  </si>
  <si>
    <t>Authorised support analyst can receive alerts for material service or security failures; the expected result is persisted or returned; validation errors are clear; unauthorised access is denied.</t>
  </si>
  <si>
    <t>Threshold breach</t>
  </si>
  <si>
    <t>No unnecessary child content</t>
  </si>
  <si>
    <t>On-call access</t>
  </si>
  <si>
    <t>Alert history</t>
  </si>
  <si>
    <t>US-302</t>
  </si>
  <si>
    <t>Central application logs</t>
  </si>
  <si>
    <t>As a Support Analyst, I want to search privacy-safe application logs by correlation ID so that technical issues can be diagnosed without browsing child content.</t>
  </si>
  <si>
    <t>search privacy-safe application logs by correlation ID</t>
  </si>
  <si>
    <t>technical issues can be diagnosed without browsing child content</t>
  </si>
  <si>
    <t>Authorised support analyst can search privacy-safe application logs by correlation ID; the expected result is persisted or returned; validation errors are clear; unauthorised access is denied.</t>
  </si>
  <si>
    <t>Logs</t>
  </si>
  <si>
    <t>Redacted operational data</t>
  </si>
  <si>
    <t>Support role</t>
  </si>
  <si>
    <t>Log access audit</t>
  </si>
  <si>
    <t>US-303</t>
  </si>
  <si>
    <t>Performance target</t>
  </si>
  <si>
    <t>As a Product Owner, I want to define and test response-time targets for core mobile and web flows so that daily workflows feel immediate enough for school use.</t>
  </si>
  <si>
    <t>define and test response-time targets for core mobile and web flows</t>
  </si>
  <si>
    <t>daily workflows feel immediate enough for school use</t>
  </si>
  <si>
    <t>Authorised product owner can define and test response-time targets for core mobile and web flows; the expected result is persisted or returned; validation errors are clear; unauthorised access is denied.</t>
  </si>
  <si>
    <t>Web/API/Mobile</t>
  </si>
  <si>
    <t>Performance test</t>
  </si>
  <si>
    <t>US-304</t>
  </si>
  <si>
    <t>Scalability test</t>
  </si>
  <si>
    <t>As a Platform Administrator, I want to load-test representative multi-school usage so that pilot growth does not expose obvious concurrency bottlenecks.</t>
  </si>
  <si>
    <t>load-test representative multi-school usage</t>
  </si>
  <si>
    <t>pilot growth does not expose obvious concurrency bottlenecks</t>
  </si>
  <si>
    <t>Authorised platform administrator can load-test representative multi-school usage; the expected result is persisted or returned; validation errors are clear; unauthorised access is denied.</t>
  </si>
  <si>
    <t>Load test</t>
  </si>
  <si>
    <t>Synthetic/test data</t>
  </si>
  <si>
    <t>Controlled test</t>
  </si>
  <si>
    <t>Load-test report</t>
  </si>
  <si>
    <t>US-305</t>
  </si>
  <si>
    <t>Patch management</t>
  </si>
  <si>
    <t>As a Platform Administrator, I want to apply framework, OS and dependency security patches through a controlled process so that known vulnerabilities are remediated without uncontrolled production changes.</t>
  </si>
  <si>
    <t>apply framework, OS and dependency security patches through a controlled process</t>
  </si>
  <si>
    <t>known vulnerabilities are remediated without uncontrolled production changes</t>
  </si>
  <si>
    <t>Authorised platform administrator can apply framework, OS and dependency security patches through a controlled process; the expected result is persisted or returned; validation errors are clear; unauthorised access is denied.</t>
  </si>
  <si>
    <t>Platform dependencies</t>
  </si>
  <si>
    <t>Patch cycle</t>
  </si>
  <si>
    <t>Change control</t>
  </si>
  <si>
    <t>Patch history</t>
  </si>
  <si>
    <t>US-306</t>
  </si>
  <si>
    <t>Feature flags</t>
  </si>
  <si>
    <t>As a Product / Implementation Team, I want to enable incomplete or pilot-specific features through controlled flags so that new capability can be tested without exposing it to every tenant.</t>
  </si>
  <si>
    <t>enable incomplete or pilot-specific features through controlled flags</t>
  </si>
  <si>
    <t>new capability can be tested without exposing it to every tenant</t>
  </si>
  <si>
    <t>Authorised product / implementation team can enable incomplete or pilot-specific features through controlled flags; the expected result is persisted or returned; validation errors are clear; unauthorised access is denied.</t>
  </si>
  <si>
    <t>Feature config</t>
  </si>
  <si>
    <t>Admin-only</t>
  </si>
  <si>
    <t>Flag change audit</t>
  </si>
  <si>
    <t>US-307</t>
  </si>
  <si>
    <t>Deployment pipeline</t>
  </si>
  <si>
    <t>As a Platform Administrator, I want to deploy tested application changes through CI/CD rather than manual production edits so that releases are repeatable and auditable.</t>
  </si>
  <si>
    <t>deploy tested application changes through CI/CD rather than manual production edits</t>
  </si>
  <si>
    <t>releases are repeatable and auditable</t>
  </si>
  <si>
    <t>Authorised platform administrator can deploy tested application changes through CI/CD rather than manual production edits; the expected result is persisted or returned; validation errors are clear; unauthorised access is denied.</t>
  </si>
  <si>
    <t>Protected pipeline</t>
  </si>
  <si>
    <t>Source control</t>
  </si>
  <si>
    <t>US-308</t>
  </si>
  <si>
    <t>Rollback</t>
  </si>
  <si>
    <t>As a Platform Administrator, I want to roll back a failed application release safely so that service can be restored quickly after a defective deployment.</t>
  </si>
  <si>
    <t>roll back a failed application release safely</t>
  </si>
  <si>
    <t>service can be restored quickly after a defective deployment</t>
  </si>
  <si>
    <t>Authorised platform administrator can roll back a failed application release safely; the expected result is persisted or returned; validation errors are clear; unauthorised access is denied.</t>
  </si>
  <si>
    <t>Release artefacts</t>
  </si>
  <si>
    <t>Failed release</t>
  </si>
  <si>
    <t>Controlled rollback</t>
  </si>
  <si>
    <t>Release audit</t>
  </si>
  <si>
    <t>US-309</t>
  </si>
  <si>
    <t>Production support diagnostics</t>
  </si>
  <si>
    <t>As a Support Analyst, I want to view tenant-safe diagnostics and job status without broad child-data access so that support can resolve operational issues under least privilege.</t>
  </si>
  <si>
    <t>view tenant-safe diagnostics and job status without broad child-data access</t>
  </si>
  <si>
    <t>support can resolve operational issues under least privilege</t>
  </si>
  <si>
    <t>Authorised support analyst can view tenant-safe diagnostics and job status without broad child-data access; the expected result is persisted or returned; validation errors are clear; unauthorised access is denied.</t>
  </si>
  <si>
    <t>Telemetry; Jobs</t>
  </si>
  <si>
    <t>Restricted support role</t>
  </si>
  <si>
    <t>Observability</t>
  </si>
  <si>
    <t>US-310</t>
  </si>
  <si>
    <t>E25</t>
  </si>
  <si>
    <t>Administration, Configuration, UAT &amp; Pilot Readiness</t>
  </si>
  <si>
    <t>School onboarding wizard</t>
  </si>
  <si>
    <t>Implementation Consultant</t>
  </si>
  <si>
    <t>Implementation</t>
  </si>
  <si>
    <t>As an implementation consultant, I want to guide a school through tenant, users, foundation data and import setup so that pilot onboarding is repeatable and less dependent on developer intervention.</t>
  </si>
  <si>
    <t>guide a school through tenant, users, foundation data and import setup</t>
  </si>
  <si>
    <t>pilot onboarding is repeatable and less dependent on developer intervention</t>
  </si>
  <si>
    <t>Authorised implementation consultant can guide a school through tenant, users, foundation data and import setup; the expected result is persisted or returned; validation errors are clear; unauthorised access is denied.</t>
  </si>
  <si>
    <t>School; User; Foundation Data</t>
  </si>
  <si>
    <t>Implementation role</t>
  </si>
  <si>
    <t>Onboarding checklist</t>
  </si>
  <si>
    <t>US-311</t>
  </si>
  <si>
    <t>As a School Administrator, I want to create, deactivate and review school user accounts so that routine access administration is manageable by the school.</t>
  </si>
  <si>
    <t>create, deactivate and review school user accounts</t>
  </si>
  <si>
    <t>routine access administration is manageable by the school</t>
  </si>
  <si>
    <t>Authorised school administrator can create, deactivate and review school user accounts; the expected result is persisted or returned; validation errors are clear; unauthorised access is denied.</t>
  </si>
  <si>
    <t>User; Staff/Guardian links</t>
  </si>
  <si>
    <t>Admin task</t>
  </si>
  <si>
    <t>Scoped admin</t>
  </si>
  <si>
    <t>US-312</t>
  </si>
  <si>
    <t>Notification configuration</t>
  </si>
  <si>
    <t>As a School Administrator, I want to configure permitted school-level notification defaults so that local operating preferences can be set without code changes.</t>
  </si>
  <si>
    <t>configure permitted school-level notification defaults</t>
  </si>
  <si>
    <t>local operating preferences can be set without code changes</t>
  </si>
  <si>
    <t>Authorised school administrator can configure permitted school-level notification defaults; the expected result is persisted or returned; validation errors are clear; unauthorised access is denied.</t>
  </si>
  <si>
    <t>Notification config</t>
  </si>
  <si>
    <t>US-313</t>
  </si>
  <si>
    <t>Consent template management</t>
  </si>
  <si>
    <t>As a DPO / Information Governance, I want to manage versioned consent/notice templates so that changes in wording can be evidenced against recorded acknowledgements.</t>
  </si>
  <si>
    <t>manage versioned consent/notice templates</t>
  </si>
  <si>
    <t>changes in wording can be evidenced against recorded acknowledgements</t>
  </si>
  <si>
    <t>Authorised dpo / information governance can manage versioned consent/notice templates; the expected result is persisted or returned; validation errors are clear; unauthorised access is denied.</t>
  </si>
  <si>
    <t>Consent Template; Consent Record</t>
  </si>
  <si>
    <t>Template update</t>
  </si>
  <si>
    <t>Governance metadata</t>
  </si>
  <si>
    <t>Restricted admin</t>
  </si>
  <si>
    <t>US-314</t>
  </si>
  <si>
    <t>Audit viewer</t>
  </si>
  <si>
    <t>As an auditor / information governance reviewer, I want to search audit records by user, child, action and date so that investigations and compliance reviews can be performed efficiently.</t>
  </si>
  <si>
    <t>search audit records by user, child, action and date</t>
  </si>
  <si>
    <t>investigations and compliance reviews can be performed efficiently</t>
  </si>
  <si>
    <t>Authorised auditor / information governance can search audit records by user, child, action and date; the expected result is persisted or returned; validation errors are clear; unauthorised access is denied.</t>
  </si>
  <si>
    <t>Audit query</t>
  </si>
  <si>
    <t>Restricted audit role</t>
  </si>
  <si>
    <t>Audit report</t>
  </si>
  <si>
    <t>Audit pipeline</t>
  </si>
  <si>
    <t>US-315</t>
  </si>
  <si>
    <t>UAT scripts</t>
  </si>
  <si>
    <t>As a Product / Implementation Team, I want to maintain repeatable UAT scenarios for each critical user journey so that pilot readiness can be demonstrated consistently.</t>
  </si>
  <si>
    <t>maintain repeatable UAT scenarios for each critical user journey</t>
  </si>
  <si>
    <t>pilot readiness can be demonstrated consistently</t>
  </si>
  <si>
    <t>Authorised product / implementation team can maintain repeatable UAT scenarios for each critical user journey; the expected result is persisted or returned; validation errors are clear; unauthorised access is denied.</t>
  </si>
  <si>
    <t>UAT artefacts</t>
  </si>
  <si>
    <t>Release test</t>
  </si>
  <si>
    <t>UAT roles</t>
  </si>
  <si>
    <t>UAT results</t>
  </si>
  <si>
    <t>Stable build</t>
  </si>
  <si>
    <t>Testing</t>
  </si>
  <si>
    <t>US-316</t>
  </si>
  <si>
    <t>Role-based UAT</t>
  </si>
  <si>
    <t>As a Teacher, I want to execute representative teacher workflows in UAT so that the solution is validated against real operational use before production.</t>
  </si>
  <si>
    <t>execute representative teacher workflows in UAT</t>
  </si>
  <si>
    <t>the solution is validated against real operational use before production</t>
  </si>
  <si>
    <t>Authorised teacher can execute representative teacher workflows in UAT; the expected result is persisted or returned; validation errors are clear; unauthorised access is denied.</t>
  </si>
  <si>
    <t>UAT test data</t>
  </si>
  <si>
    <t>UAT-only</t>
  </si>
  <si>
    <t>UAT evidence</t>
  </si>
  <si>
    <t>US-317</t>
  </si>
  <si>
    <t>Pilot success metrics</t>
  </si>
  <si>
    <t>As a Product Owner, I want to define and track adoption, completion, response and quality metrics for the pilot so that the pilot can be evaluated against explicit success criteria.</t>
  </si>
  <si>
    <t>define and track adoption, completion, response and quality metrics for the pilot</t>
  </si>
  <si>
    <t>the pilot can be evaluated against explicit success criteria</t>
  </si>
  <si>
    <t>Authorised product owner can define and track adoption, completion, response and quality metrics for the pilot; the expected result is persisted or returned; validation errors are clear; unauthorised access is denied.</t>
  </si>
  <si>
    <t>Pilot operation</t>
  </si>
  <si>
    <t>Aggregated usage data</t>
  </si>
  <si>
    <t>Privacy-safe analytics</t>
  </si>
  <si>
    <t>Pilot dashboard</t>
  </si>
  <si>
    <t>Analytics instrumentation</t>
  </si>
  <si>
    <t>US-318</t>
  </si>
  <si>
    <t>In-product feedback</t>
  </si>
  <si>
    <t>As an authenticated user, I want to submit contextual feedback about a workflow so that pilot usability issues can be captured close to the experience.</t>
  </si>
  <si>
    <t>submit contextual feedback about a workflow</t>
  </si>
  <si>
    <t>pilot usability issues can be captured close to the experience</t>
  </si>
  <si>
    <t>Authorised all users can submit contextual feedback about a workflow; the expected result is persisted or returned; validation errors are clear; unauthorised access is denied.</t>
  </si>
  <si>
    <t>User action</t>
  </si>
  <si>
    <t>Potentially personal text</t>
  </si>
  <si>
    <t>Tenant-scoped feedback</t>
  </si>
  <si>
    <t>Feedback report</t>
  </si>
  <si>
    <t>Support workflow</t>
  </si>
  <si>
    <t>US-319</t>
  </si>
  <si>
    <t>Support case linkage</t>
  </si>
  <si>
    <t>As a Support Analyst, I want to link a support case to tenant, version and correlation IDs without copying sensitive record content so that support diagnosis remains traceable while minimising data duplication.</t>
  </si>
  <si>
    <t>link a support case to tenant, version and correlation IDs without copying sensitive record content</t>
  </si>
  <si>
    <t>support diagnosis remains traceable while minimising data duplication</t>
  </si>
  <si>
    <t>Authorised support analyst can link a support case to tenant, version and correlation IDs without copying sensitive record content; the expected result is persisted or returned; validation errors are clear; unauthorised access is denied.</t>
  </si>
  <si>
    <t>Support Case metadata</t>
  </si>
  <si>
    <t>Least-privilege support</t>
  </si>
  <si>
    <t>Support report</t>
  </si>
  <si>
    <t>US-320</t>
  </si>
  <si>
    <t>E26</t>
  </si>
  <si>
    <t>Data Governance, Quality &amp; Stewardship</t>
  </si>
  <si>
    <t>Data owner</t>
  </si>
  <si>
    <t>As a School Leadership, I want to assign accountable owners for key foundation and operational data domains so that responsibility for data quality and policy decisions is explicit.</t>
  </si>
  <si>
    <t>assign accountable owners for key foundation and operational data domains</t>
  </si>
  <si>
    <t>responsibility for data quality and policy decisions is explicit</t>
  </si>
  <si>
    <t>Authorised school leadership can assign accountable owners for key foundation and operational data domains; the expected result is persisted or returned; validation errors are clear; unauthorised access is denied.</t>
  </si>
  <si>
    <t>Data Governance Register</t>
  </si>
  <si>
    <t>Ownership register</t>
  </si>
  <si>
    <t>US-321</t>
  </si>
  <si>
    <t>Data steward</t>
  </si>
  <si>
    <t>As a Data Steward, I want to be assigned stewardship responsibility for defined datasets so that routine data-quality issues have an accountable operational owner.</t>
  </si>
  <si>
    <t>be assigned stewardship responsibility for defined datasets</t>
  </si>
  <si>
    <t>routine data-quality issues have an accountable operational owner</t>
  </si>
  <si>
    <t>Authorised data steward can be assigned stewardship responsibility for defined datasets; the expected result is persisted or returned; validation errors are clear; unauthorised access is denied.</t>
  </si>
  <si>
    <t>Steward role</t>
  </si>
  <si>
    <t>Stewardship report</t>
  </si>
  <si>
    <t>US-322</t>
  </si>
  <si>
    <t>Mandatory field rules</t>
  </si>
  <si>
    <t>As a Data Steward, I want to define which fields are mandatory by process and lifecycle stage so that records are sufficiently complete for operational use without over-collecting data.</t>
  </si>
  <si>
    <t>define which fields are mandatory by process and lifecycle stage</t>
  </si>
  <si>
    <t>records are sufficiently complete for operational use without over-collecting data</t>
  </si>
  <si>
    <t>Authorised data steward can define which fields are mandatory by process and lifecycle stage; the expected result is persisted or returned; validation errors are clear; unauthorised access is denied.</t>
  </si>
  <si>
    <t>Form validation</t>
  </si>
  <si>
    <t>Validation rules</t>
  </si>
  <si>
    <t>Completeness metric</t>
  </si>
  <si>
    <t>US-323</t>
  </si>
  <si>
    <t>As a Data Steward, I want to run checks for missing, invalid, contradictory or stale data so that quality issues are identified proactively.</t>
  </si>
  <si>
    <t>run checks for missing, invalid, contradictory or stale data</t>
  </si>
  <si>
    <t>quality issues are identified proactively</t>
  </si>
  <si>
    <t>Authorised data steward can run checks for missing, invalid, contradictory or stale data; the expected result is persisted or returned; validation errors are clear; unauthorised access is denied.</t>
  </si>
  <si>
    <t>Core data objects</t>
  </si>
  <si>
    <t>Scheduled DQ check</t>
  </si>
  <si>
    <t>Metadata and sensitive counts</t>
  </si>
  <si>
    <t>Governance view</t>
  </si>
  <si>
    <t>DQ dashboard</t>
  </si>
  <si>
    <t>US-324</t>
  </si>
  <si>
    <t>Data-quality remediation</t>
  </si>
  <si>
    <t>As a School Administrator, I want to see and resolve assigned data-quality issues so that identified issues result in corrected records.</t>
  </si>
  <si>
    <t>see and resolve assigned data-quality issues</t>
  </si>
  <si>
    <t>identified issues result in corrected records</t>
  </si>
  <si>
    <t>Authorised school administrator can see and resolve assigned data-quality issues; the expected result is persisted or returned; validation errors are clear; unauthorised access is denied.</t>
  </si>
  <si>
    <t>DQ Issue; core objects</t>
  </si>
  <si>
    <t>DQ issue workflow</t>
  </si>
  <si>
    <t>Entitled editor</t>
  </si>
  <si>
    <t>DQ closure report</t>
  </si>
  <si>
    <t>DQ rules</t>
  </si>
  <si>
    <t>US-325</t>
  </si>
  <si>
    <t>Data certification</t>
  </si>
  <si>
    <t>Data Owner</t>
  </si>
  <si>
    <t>As a Data Owner, I want to certify selected foundation datasets as reviewed/current so that downstream teams can distinguish trusted reference data from unreviewed data.</t>
  </si>
  <si>
    <t>certify selected foundation datasets as reviewed/current</t>
  </si>
  <si>
    <t>downstream teams can distinguish trusted reference data from unreviewed data</t>
  </si>
  <si>
    <t>Authorised data owner can certify selected foundation datasets as reviewed/current; the expected result is persisted or returned; validation errors are clear; unauthorised access is denied.</t>
  </si>
  <si>
    <t>Certification</t>
  </si>
  <si>
    <t>Data-owner approval</t>
  </si>
  <si>
    <t>Certification status</t>
  </si>
  <si>
    <t>Review cycle</t>
  </si>
  <si>
    <t>US-326</t>
  </si>
  <si>
    <t>Data lineage</t>
  </si>
  <si>
    <t>As a Data Steward, I want to document major source-to-target mappings for imports, exports, reports and AI so that users can understand where important data came from and where it is used.</t>
  </si>
  <si>
    <t>document major source-to-target mappings for imports, exports, reports and AI</t>
  </si>
  <si>
    <t>users can understand where important data came from and where it is used</t>
  </si>
  <si>
    <t>Authorised data steward can document major source-to-target mappings for imports, exports, reports and AI; the expected result is persisted or returned; validation errors are clear; unauthorised access is denied.</t>
  </si>
  <si>
    <t>Data lineage metadata</t>
  </si>
  <si>
    <t>Integration/report design</t>
  </si>
  <si>
    <t>Lineage register</t>
  </si>
  <si>
    <t>US-327</t>
  </si>
  <si>
    <t>Derived field provenance</t>
  </si>
  <si>
    <t>As a School Data / Reporting Analyst, I want to see whether a metric is captured, calculated or AI-derived so that reports do not blur observed facts with derived interpretation.</t>
  </si>
  <si>
    <t>see whether a metric is captured, calculated or AI-derived</t>
  </si>
  <si>
    <t>reports do not blur observed facts with derived interpretation</t>
  </si>
  <si>
    <t>Authorised school data / reporting analyst can see whether a metric is captured, calculated or AI-derived; the expected result is persisted or returned; validation errors are clear; unauthorised access is denied.</t>
  </si>
  <si>
    <t>Reporting metadata; AI Insight</t>
  </si>
  <si>
    <t>Report display</t>
  </si>
  <si>
    <t>Provenance labels</t>
  </si>
  <si>
    <t>Metric definition</t>
  </si>
  <si>
    <t>US-328</t>
  </si>
  <si>
    <t>Observed vs reported distinction</t>
  </si>
  <si>
    <t>Web + Reporting</t>
  </si>
  <si>
    <t>As a SENCO / SENDCo, I want to distinguish direct observation, guardian report, child self-report and system-generated information so that evidence is interpreted according to its provenance.</t>
  </si>
  <si>
    <t>distinguish direct observation, guardian report, child self-report and system-generated information</t>
  </si>
  <si>
    <t>evidence is interpreted according to its provenance</t>
  </si>
  <si>
    <t>Authorised senco / sendco can distinguish direct observation, guardian report, child self-report and system-generated information; the expected result is persisted or returned; validation errors are clear; unauthorised access is denied.</t>
  </si>
  <si>
    <t>Transaction create/view</t>
  </si>
  <si>
    <t>Evidence basis report</t>
  </si>
  <si>
    <t>US-329</t>
  </si>
  <si>
    <t>Correction history</t>
  </si>
  <si>
    <t>As an auditor / information governance reviewer, I want to retain the history and reason for material data corrections so that data integrity reviews can distinguish original and corrected values.</t>
  </si>
  <si>
    <t>retain the history and reason for material data corrections</t>
  </si>
  <si>
    <t>data integrity reviews can distinguish original and corrected values</t>
  </si>
  <si>
    <t>Authorised auditor / information governance can retain the history and reason for material data corrections; the expected result is persisted or returned; validation errors are clear; unauthorised access is denied.</t>
  </si>
  <si>
    <t>Version/Audit Log</t>
  </si>
  <si>
    <t>Correction</t>
  </si>
  <si>
    <t>Restricted audit</t>
  </si>
  <si>
    <t>Correction report</t>
  </si>
  <si>
    <t>US-330</t>
  </si>
  <si>
    <t>Data quality before AI</t>
  </si>
  <si>
    <t>As an AI administrator, I want to exclude materially incomplete or untrusted data from selected AI workflows so that AI does not amplify known data-quality problems.</t>
  </si>
  <si>
    <t>exclude materially incomplete or untrusted data from selected AI workflows</t>
  </si>
  <si>
    <t>AI does not amplify known data-quality problems</t>
  </si>
  <si>
    <t>Authorised ai administrator can exclude materially incomplete or untrusted data from selected AI workflows; the expected result is persisted or returned; validation errors are clear; unauthorised access is denied.</t>
  </si>
  <si>
    <t>DQ status; AI Run</t>
  </si>
  <si>
    <t>Quality gate</t>
  </si>
  <si>
    <t>AI exclusion report</t>
  </si>
  <si>
    <t>US-331</t>
  </si>
  <si>
    <t>Data governance dashboard</t>
  </si>
  <si>
    <t>As a DPO / Information Governance, I want to see ownership, quality, consent, retention and export indicators by tenant so that governance risks can be monitored operationally.</t>
  </si>
  <si>
    <t>see ownership, quality, consent, retention and export indicators by tenant</t>
  </si>
  <si>
    <t>governance risks can be monitored operationally</t>
  </si>
  <si>
    <t>Authorised dpo / information governance can see ownership, quality, consent, retention and export indicators by tenant; the expected result is persisted or returned; validation errors are clear; unauthorised access is denied.</t>
  </si>
  <si>
    <t>Governance dashboard</t>
  </si>
  <si>
    <t>Governance records</t>
  </si>
  <si>
    <t>Definition / Scope</t>
  </si>
  <si>
    <t>Stories</t>
  </si>
  <si>
    <t>Must Stories</t>
  </si>
  <si>
    <t>Technical/governance role managing AI/RAG configuration and approved sources.</t>
  </si>
  <si>
    <t>System actor executing AI/RAG tasks.</t>
  </si>
  <si>
    <t>Specialist validating accessibility requirements.</t>
  </si>
  <si>
    <t>Person assigned responsibility for a follow-up action.</t>
  </si>
  <si>
    <t>Adult user population for mandatory authentication controls.</t>
  </si>
  <si>
    <t>Any authenticated user class where the requirement applies broadly.</t>
  </si>
  <si>
    <t>Restricted role reviewing access, change, export and governance evidence.</t>
  </si>
  <si>
    <t>School careers role used only in future Parent Plus workflows.</t>
  </si>
  <si>
    <t>The pupil/young person using age-appropriate check-in, support and later learning/careers features.</t>
  </si>
  <si>
    <t>Privacy and information-governance role overseeing lawful processing, consent, retention, rights and audit.</t>
  </si>
  <si>
    <t>Accountable business owner for a data domain.</t>
  </si>
  <si>
    <t>Operational steward responsible for data definitions, quality and remediation.</t>
  </si>
  <si>
    <t>Restricted external professional such as therapist or educational psychologist.</t>
  </si>
  <si>
    <t>School leadership requiring governed aggregate oversight.</t>
  </si>
  <si>
    <t>Person onboarding schools and coordinating pilot setup.</t>
  </si>
  <si>
    <t>Technical actor managing APIs, imports, exports and integration credentials.</t>
  </si>
  <si>
    <t>Central trust/MAT actor with appropriately scoped aggregate governance.</t>
  </si>
  <si>
    <t>Staff legitimately assigned to more than one school/tenant context.</t>
  </si>
  <si>
    <t>Parent, carer or legal guardian linked to one or more children.</t>
  </si>
  <si>
    <t>Technical platform operator responsible for hosting, security, deployment, monitoring and tenant provisioning.</t>
  </si>
  <si>
    <t>Delivery team responsible for design, configuration, migration, testing and implementation.</t>
  </si>
  <si>
    <t>Accountable product role defining scope, guardrails and pilot outcomes.</t>
  </si>
  <si>
    <t>Generic actor who records a transaction or correction.</t>
  </si>
  <si>
    <t>Approved research/analytics actor using de-identified datasets only.</t>
  </si>
  <si>
    <t>School inclusion/SEND lead responsible for support plans, reviews, triage, evidence and oversight.</t>
  </si>
  <si>
    <t>Designated safeguarding role with restricted access and escalation responsibilities.</t>
  </si>
  <si>
    <t>Tenant-scoped administrator for users, relationships, imports and foundation records.</t>
  </si>
  <si>
    <t>Authorised school analyst producing operational and governance reports.</t>
  </si>
  <si>
    <t>School technology administrator responsible for identity and integration configuration.</t>
  </si>
  <si>
    <t>Generic school leadership actor for governance/operational decisions.</t>
  </si>
  <si>
    <t>Authorised security assurance actor.</t>
  </si>
  <si>
    <t>Generic actor sending a child-scoped message.</t>
  </si>
  <si>
    <t>A school staff identity that may hold roles across one or more schools.</t>
  </si>
  <si>
    <t>Least-privilege technical support role.</t>
  </si>
  <si>
    <t>Background system actor executing jobs, reminders and automated state changes.</t>
  </si>
  <si>
    <t>Teacher responsible for assigned pupils, observations, handovers, learning and follow-up.</t>
  </si>
  <si>
    <t>TA or support staff member providing front-line day-to-day support.</t>
  </si>
  <si>
    <t>Total Stories</t>
  </si>
  <si>
    <t>Build Phase(s)</t>
  </si>
  <si>
    <t>MVP, Phase 2</t>
  </si>
  <si>
    <t>Future, MVP, Phase 2</t>
  </si>
  <si>
    <t>Future, Phase 2</t>
  </si>
  <si>
    <t>Meaning for See My Mind</t>
  </si>
  <si>
    <t>Typical Decision Rule</t>
  </si>
  <si>
    <t>Pilot Interpretation</t>
  </si>
  <si>
    <t>Essential for a safe, credible core school pilot or mandatory control.</t>
  </si>
  <si>
    <t>Without it, the pilot is unsafe, non-compliant, unusable or fails the core proposition.</t>
  </si>
  <si>
    <t>Commit to first real pilot / release gate.</t>
  </si>
  <si>
    <t>Important and high-value, but a limited workaround or short deferral is possible.</t>
  </si>
  <si>
    <t>Strongly expected once Musts are secure; omission should be consciously accepted.</t>
  </si>
  <si>
    <t>Target pilot where feasible or immediately after.</t>
  </si>
  <si>
    <t>Useful enhancement that improves value, efficiency or insight.</t>
  </si>
  <si>
    <t>Build only after Must/Should scope, data quality and safety gates are under control.</t>
  </si>
  <si>
    <t>Post-pilot / Phase 2 candidate.</t>
  </si>
  <si>
    <t>Explicitly out of scope for the core product/release being prioritised; may be future or intentionally excluded.</t>
  </si>
  <si>
    <t>Do not allow this to distract the core SEND communication/evidence product or weaken privacy.</t>
  </si>
  <si>
    <t>Future only or deliberately not provided.</t>
  </si>
  <si>
    <t>Source</t>
  </si>
  <si>
    <t>Used For</t>
  </si>
  <si>
    <t>See_My_Mind_Technical_Blueprint_v0_2_Expanded.pptx</t>
  </si>
  <si>
    <t>Architecture layers, privacy/security, multi-tenancy, mobile, reporting, roles, workflow, import/export</t>
  </si>
  <si>
    <t>Current project artefact</t>
  </si>
  <si>
    <t>Primary conceptual architecture basis.</t>
  </si>
  <si>
    <t>See_My_Mind_Data_Model_v0_1.xlsx</t>
  </si>
  <si>
    <t>Entities, relationships, phases, Frappe object names and governance objects</t>
  </si>
  <si>
    <t>Primary logical data-model basis.</t>
  </si>
  <si>
    <t>tech_outline_ (2).docx - 2026-07-02</t>
  </si>
  <si>
    <t>Original Flask application, MVP definition, roles, security/privacy backlog, transition/observation/incidents, reporting and AI boundaries</t>
  </si>
  <si>
    <t>Source architecture</t>
  </si>
  <si>
    <t>Used to preserve original product framing and backlog requirements.</t>
  </si>
  <si>
    <t>SeeMyMind_ParentPlus_v3 (1).html</t>
  </si>
  <si>
    <t>Role-based UI concepts: Teacher, SENCO, Parent, Child, TA, Parent Plus; dashboard and workflow patterns</t>
  </si>
  <si>
    <t>Used as visual/functional reference, not as authoritative implemented behaviour.</t>
  </si>
  <si>
    <t>Current project discussion</t>
  </si>
  <si>
    <t>Native iOS/Android, browser app, mandatory 2FA, privacy-first design, foundation-data governance, export/import and comprehensive role profiles</t>
  </si>
  <si>
    <t>Design direction</t>
  </si>
  <si>
    <t>User-specified scope expansion reflected in stories.</t>
  </si>
  <si>
    <t>Ready</t>
  </si>
  <si>
    <t>In Design</t>
  </si>
  <si>
    <t>In Build</t>
  </si>
  <si>
    <t>In Test</t>
  </si>
  <si>
    <t>Done</t>
  </si>
  <si>
    <t>Deferred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</si>
</sst>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0"/>
      <color rgb="FFFFFFFF"/>
      <name val="Carlito"/>
    </font>
    <font>
      <b/>
      <sz val="11"/>
      <color rgb="FF1F6040"/>
      <name val="Carlito"/>
    </font>
    <font>
      <b/>
      <sz val="11"/>
      <color rgb="FF8A5B1F"/>
      <name val="Carlito"/>
    </font>
    <font>
      <b/>
      <sz val="11"/>
      <color rgb="FF5E4D9A"/>
      <name val="Carlito"/>
    </font>
    <font>
      <b/>
      <sz val="11"/>
      <color rgb="FFC5503E"/>
      <name val="Carlito"/>
    </font>
    <font>
      <b/>
      <sz val="18"/>
      <color rgb="FFFFFFFF"/>
      <name val="Carlito"/>
    </font>
    <font>
      <i/>
      <sz val="10"/>
      <color rgb="FF1A3A4A"/>
      <name val="Carlito"/>
    </font>
    <font>
      <b/>
      <sz val="12"/>
      <color rgb="FFFFFFFF"/>
      <name val="Carlito"/>
    </font>
    <font>
      <sz val="10"/>
      <color rgb="FF1A3A4A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A3A4A"/>
      </patternFill>
    </fill>
    <fill>
      <patternFill patternType="solid">
        <fgColor rgb="FFD4EDE0"/>
      </patternFill>
    </fill>
    <fill>
      <patternFill patternType="solid">
        <fgColor rgb="FFFBE8C8"/>
      </patternFill>
    </fill>
    <fill>
      <patternFill patternType="solid">
        <fgColor rgb="FFDDD8F0"/>
      </patternFill>
    </fill>
    <fill>
      <patternFill patternType="solid">
        <fgColor rgb="FFFCDCD6"/>
      </patternFill>
    </fill>
    <fill>
      <patternFill patternType="solid">
        <fgColor rgb="FFE8F4F1"/>
      </patternFill>
    </fill>
    <fill>
      <patternFill patternType="solid">
        <fgColor rgb="FF2A6B62"/>
      </patternFill>
    </fill>
    <fill>
      <patternFill patternType="solid">
        <fgColor rgb="FFF7FAF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0" borderId="0" xfId="0" applyAlignment="1">
      <alignment vertical="top"/>
    </xf>
    <xf numFmtId="0" fontId="6" fillId="2" borderId="0" xfId="0" applyFont="1" applyFill="1" applyAlignment="1">
      <alignment vertical="top"/>
    </xf>
    <xf numFmtId="0" fontId="7" fillId="7" borderId="0" xfId="0" applyFont="1" applyFill="1" applyAlignment="1">
      <alignment vertical="top" wrapText="1"/>
    </xf>
    <xf numFmtId="0" fontId="8" fillId="8" borderId="0" xfId="0" applyFont="1" applyFill="1" applyAlignment="1">
      <alignment vertical="top"/>
    </xf>
    <xf numFmtId="0" fontId="9" fillId="9" borderId="0" xfId="0" applyFont="1" applyFill="1" applyAlignment="1">
      <alignment vertical="top" wrapText="1"/>
    </xf>
  </cellXfs>
  <cellStyles count="1">
    <cellStyle name="Normal" xfId="0" builtinId="0"/>
  </cellStyles>
  <dxfs count="4">
    <dxf>
      <font>
        <b/>
        <color rgb="FFC5503E"/>
      </font>
      <fill>
        <patternFill patternType="solid">
          <bgColor rgb="FFFCDCD6"/>
        </patternFill>
      </fill>
    </dxf>
    <dxf>
      <font>
        <b/>
        <color rgb="FF5E4D9A"/>
      </font>
      <fill>
        <patternFill patternType="solid">
          <bgColor rgb="FFDDD8F0"/>
        </patternFill>
      </fill>
    </dxf>
    <dxf>
      <font>
        <b/>
        <color rgb="FF8A5B1F"/>
      </font>
      <fill>
        <patternFill patternType="solid">
          <bgColor rgb="FFFBE8C8"/>
        </patternFill>
      </fill>
    </dxf>
    <dxf>
      <font>
        <b/>
        <color rgb="FF1F6040"/>
      </font>
      <fill>
        <patternFill patternType="solid">
          <bgColor rgb="FFD4ED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Backlog by MoSCoW priority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Summary!$D$5:$D$8</c:f>
              <c:strCache>
                <c:ptCount val="4"/>
                <c:pt idx="0">
                  <c:v>Must</c:v>
                </c:pt>
                <c:pt idx="1">
                  <c:v>Should</c:v>
                </c:pt>
                <c:pt idx="2">
                  <c:v>Could</c:v>
                </c:pt>
                <c:pt idx="3">
                  <c:v>Don't</c:v>
                </c:pt>
              </c:strCache>
            </c:strRef>
          </c:cat>
          <c:val>
            <c:numRef>
              <c:f>Summary!$E$5:$E$8</c:f>
              <c:numCache>
                <c:formatCode>General</c:formatCode>
                <c:ptCount val="4"/>
                <c:pt idx="0">
                  <c:v>193</c:v>
                </c:pt>
                <c:pt idx="1">
                  <c:v>77</c:v>
                </c:pt>
                <c:pt idx="2">
                  <c:v>42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3-49C1-AD26-878949EB9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StoriesTable" displayName="UserStoriesTable" ref="A1:Y332" totalsRowShown="0">
  <tableColumns count="25">
    <tableColumn id="1" xr3:uid="{00000000-0010-0000-0000-000001000000}" name="Story ID"/>
    <tableColumn id="2" xr3:uid="{00000000-0010-0000-0000-000002000000}" name="Epic ID"/>
    <tableColumn id="3" xr3:uid="{00000000-0010-0000-0000-000003000000}" name="Epic / Capability"/>
    <tableColumn id="4" xr3:uid="{00000000-0010-0000-0000-000004000000}" name="Feature / Process"/>
    <tableColumn id="5" xr3:uid="{00000000-0010-0000-0000-000005000000}" name="Actor"/>
    <tableColumn id="6" xr3:uid="{00000000-0010-0000-0000-000006000000}" name="Persona Group"/>
    <tableColumn id="7" xr3:uid="{00000000-0010-0000-0000-000007000000}" name="Channel"/>
    <tableColumn id="8" xr3:uid="{00000000-0010-0000-0000-000008000000}" name="User Story"/>
    <tableColumn id="9" xr3:uid="{00000000-0010-0000-0000-000009000000}" name="Requirement"/>
    <tableColumn id="10" xr3:uid="{00000000-0010-0000-0000-00000A000000}" name="Outcome / Value"/>
    <tableColumn id="11" xr3:uid="{00000000-0010-0000-0000-00000B000000}" name="Acceptance Intent"/>
    <tableColumn id="12" xr3:uid="{00000000-0010-0000-0000-00000C000000}" name="MoSCoW"/>
    <tableColumn id="13" xr3:uid="{00000000-0010-0000-0000-00000D000000}" name="Release Horizon"/>
    <tableColumn id="14" xr3:uid="{00000000-0010-0000-0000-00000E000000}" name="Build Phase"/>
    <tableColumn id="15" xr3:uid="{00000000-0010-0000-0000-00000F000000}" name="Data Objects"/>
    <tableColumn id="16" xr3:uid="{00000000-0010-0000-0000-000010000000}" name="Workflow / Trigger"/>
    <tableColumn id="17" xr3:uid="{00000000-0010-0000-0000-000011000000}" name="Privacy / Data Classification"/>
    <tableColumn id="18" xr3:uid="{00000000-0010-0000-0000-000012000000}" name="Security / Entitlement"/>
    <tableColumn id="19" xr3:uid="{00000000-0010-0000-0000-000013000000}" name="Tenant Scope"/>
    <tableColumn id="20" xr3:uid="{00000000-0010-0000-0000-000014000000}" name="Reporting / Audit Evidence"/>
    <tableColumn id="21" xr3:uid="{00000000-0010-0000-0000-000015000000}" name="Dependencies"/>
    <tableColumn id="22" xr3:uid="{00000000-0010-0000-0000-000016000000}" name="Source / Basis"/>
    <tableColumn id="23" xr3:uid="{00000000-0010-0000-0000-000017000000}" name="Story Type"/>
    <tableColumn id="24" xr3:uid="{00000000-0010-0000-0000-000018000000}" name="Status"/>
    <tableColumn id="25" xr3:uid="{00000000-0010-0000-0000-000019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torsTable" displayName="ActorsTable" ref="A1:D38" totalsRowShown="0">
  <tableColumns count="4">
    <tableColumn id="1" xr3:uid="{00000000-0010-0000-0100-000001000000}" name="Actor"/>
    <tableColumn id="2" xr3:uid="{00000000-0010-0000-0100-000002000000}" name="Definition / Scope"/>
    <tableColumn id="3" xr3:uid="{00000000-0010-0000-0100-000003000000}" name="Stories"/>
    <tableColumn id="4" xr3:uid="{00000000-0010-0000-0100-000004000000}" name="Must Stori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picsTable" displayName="EpicsTable" ref="A1:H27" totalsRowShown="0">
  <tableColumns count="8">
    <tableColumn id="1" xr3:uid="{00000000-0010-0000-0200-000001000000}" name="Epic ID"/>
    <tableColumn id="2" xr3:uid="{00000000-0010-0000-0200-000002000000}" name="Epic / Capability"/>
    <tableColumn id="3" xr3:uid="{00000000-0010-0000-0200-000003000000}" name="Total Stories"/>
    <tableColumn id="4" xr3:uid="{00000000-0010-0000-0200-000004000000}" name="Must"/>
    <tableColumn id="5" xr3:uid="{00000000-0010-0000-0200-000005000000}" name="Should"/>
    <tableColumn id="6" xr3:uid="{00000000-0010-0000-0200-000006000000}" name="Could"/>
    <tableColumn id="7" xr3:uid="{00000000-0010-0000-0200-000007000000}" name="Don't"/>
    <tableColumn id="8" xr3:uid="{00000000-0010-0000-0200-000008000000}" name="Build Phase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workbookViewId="0">
      <selection activeCell="E21" sqref="E21"/>
    </sheetView>
  </sheetViews>
  <sheetFormatPr defaultRowHeight="13.7"/>
  <cols>
    <col min="1" max="1" width="28" customWidth="1"/>
    <col min="2" max="2" width="14" customWidth="1"/>
    <col min="4" max="4" width="14" customWidth="1"/>
    <col min="5" max="5" width="12" customWidth="1"/>
    <col min="6" max="7" width="28" customWidth="1"/>
  </cols>
  <sheetData>
    <row r="1" spans="1:16" ht="22.7">
      <c r="A1" s="10" t="s">
        <v>0</v>
      </c>
      <c r="B1" s="10"/>
      <c r="C1" s="10"/>
      <c r="D1" s="10"/>
      <c r="E1" s="10"/>
      <c r="F1" s="10"/>
      <c r="G1" s="10"/>
      <c r="H1" s="10"/>
      <c r="I1" s="9"/>
      <c r="J1" s="9"/>
      <c r="K1" s="9"/>
      <c r="L1" s="9"/>
      <c r="M1" s="9"/>
      <c r="N1" s="9"/>
      <c r="O1" s="9"/>
      <c r="P1" s="9"/>
    </row>
    <row r="2" spans="1:16">
      <c r="A2" s="11" t="s">
        <v>1</v>
      </c>
      <c r="B2" s="11"/>
      <c r="C2" s="11"/>
      <c r="D2" s="11"/>
      <c r="E2" s="11"/>
      <c r="F2" s="11"/>
      <c r="G2" s="11"/>
      <c r="H2" s="11"/>
      <c r="I2" s="9"/>
      <c r="J2" s="9"/>
      <c r="K2" s="9"/>
      <c r="L2" s="9"/>
      <c r="M2" s="9"/>
      <c r="N2" s="9"/>
      <c r="O2" s="9"/>
      <c r="P2" s="9"/>
    </row>
    <row r="3" spans="1:16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>
      <c r="A4" s="3" t="s">
        <v>2</v>
      </c>
      <c r="B4" s="3" t="s">
        <v>3</v>
      </c>
      <c r="C4" s="9"/>
      <c r="D4" s="3" t="s">
        <v>4</v>
      </c>
      <c r="E4" s="3" t="s">
        <v>3</v>
      </c>
      <c r="F4" s="3" t="s">
        <v>5</v>
      </c>
      <c r="G4" s="3" t="s">
        <v>6</v>
      </c>
      <c r="H4" s="9"/>
      <c r="I4" s="9"/>
      <c r="J4" s="9"/>
      <c r="K4" s="9"/>
      <c r="L4" s="9"/>
      <c r="M4" s="9"/>
      <c r="N4" s="9"/>
      <c r="O4" s="9"/>
      <c r="P4" s="9"/>
    </row>
    <row r="5" spans="1:16">
      <c r="A5" s="4" t="s">
        <v>7</v>
      </c>
      <c r="B5" s="4">
        <f>COUNTA('User Stories'!A2:A332)</f>
        <v>331</v>
      </c>
      <c r="C5" s="9"/>
      <c r="D5" s="4" t="s">
        <v>8</v>
      </c>
      <c r="E5" s="4">
        <f>COUNTIF('User Stories'!L2:L332,"Must")</f>
        <v>193</v>
      </c>
      <c r="F5" s="4" t="s">
        <v>9</v>
      </c>
      <c r="G5" s="4" t="s">
        <v>10</v>
      </c>
      <c r="H5" s="9"/>
      <c r="I5" s="9"/>
      <c r="J5" s="9"/>
      <c r="K5" s="9"/>
      <c r="L5" s="9"/>
      <c r="M5" s="9"/>
      <c r="N5" s="9"/>
      <c r="O5" s="9"/>
      <c r="P5" s="9"/>
    </row>
    <row r="6" spans="1:16">
      <c r="A6" s="4" t="s">
        <v>8</v>
      </c>
      <c r="B6" s="4">
        <f>COUNTIF('User Stories'!L2:L332,"Must")</f>
        <v>193</v>
      </c>
      <c r="C6" s="9"/>
      <c r="D6" s="4" t="s">
        <v>11</v>
      </c>
      <c r="E6" s="4">
        <f>COUNTIF('User Stories'!L2:L332,"Should")</f>
        <v>77</v>
      </c>
      <c r="F6" s="4" t="s">
        <v>12</v>
      </c>
      <c r="G6" s="4" t="s">
        <v>13</v>
      </c>
      <c r="H6" s="9"/>
      <c r="I6" s="9"/>
      <c r="J6" s="9"/>
      <c r="K6" s="9"/>
      <c r="L6" s="9"/>
      <c r="M6" s="9"/>
      <c r="N6" s="9"/>
      <c r="O6" s="9"/>
      <c r="P6" s="9"/>
    </row>
    <row r="7" spans="1:16">
      <c r="A7" s="4" t="s">
        <v>11</v>
      </c>
      <c r="B7" s="4">
        <f>COUNTIF('User Stories'!L2:L332,"Should")</f>
        <v>77</v>
      </c>
      <c r="C7" s="9"/>
      <c r="D7" s="4" t="s">
        <v>14</v>
      </c>
      <c r="E7" s="4">
        <f>COUNTIF('User Stories'!L2:L332,"Could")</f>
        <v>42</v>
      </c>
      <c r="F7" s="4" t="s">
        <v>15</v>
      </c>
      <c r="G7" s="4" t="s">
        <v>16</v>
      </c>
      <c r="H7" s="9"/>
      <c r="I7" s="9"/>
      <c r="J7" s="9"/>
      <c r="K7" s="9"/>
      <c r="L7" s="9"/>
      <c r="M7" s="9"/>
      <c r="N7" s="9"/>
      <c r="O7" s="9"/>
      <c r="P7" s="9"/>
    </row>
    <row r="8" spans="1:16">
      <c r="A8" s="4" t="s">
        <v>14</v>
      </c>
      <c r="B8" s="4">
        <f>COUNTIF('User Stories'!L2:L332,"Could")</f>
        <v>42</v>
      </c>
      <c r="C8" s="9"/>
      <c r="D8" s="4" t="s">
        <v>17</v>
      </c>
      <c r="E8" s="4">
        <f>COUNTIF('User Stories'!L2:L332,"Don't")</f>
        <v>19</v>
      </c>
      <c r="F8" s="4" t="s">
        <v>18</v>
      </c>
      <c r="G8" s="4" t="s">
        <v>19</v>
      </c>
      <c r="H8" s="9"/>
      <c r="I8" s="9"/>
      <c r="J8" s="9"/>
      <c r="K8" s="9"/>
      <c r="L8" s="9"/>
      <c r="M8" s="9"/>
      <c r="N8" s="9"/>
      <c r="O8" s="9"/>
      <c r="P8" s="9"/>
    </row>
    <row r="9" spans="1:16">
      <c r="A9" s="4" t="s">
        <v>17</v>
      </c>
      <c r="B9" s="4">
        <f>COUNTIF('User Stories'!L2:L332,"Don't")</f>
        <v>19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>
      <c r="A10" s="4" t="s">
        <v>20</v>
      </c>
      <c r="B10" s="4">
        <f>COUNTIF('User Stories'!N2:N332,"MVP")</f>
        <v>235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ht="15.35">
      <c r="A12" s="12" t="s">
        <v>21</v>
      </c>
      <c r="B12" s="12"/>
      <c r="C12" s="12"/>
      <c r="D12" s="12"/>
      <c r="E12" s="12"/>
      <c r="F12" s="12"/>
      <c r="G12" s="12"/>
      <c r="H12" s="12"/>
      <c r="I12" s="9"/>
      <c r="J12" s="9"/>
      <c r="K12" s="9"/>
      <c r="L12" s="9"/>
      <c r="M12" s="9"/>
      <c r="N12" s="9"/>
      <c r="O12" s="9"/>
      <c r="P12" s="9"/>
    </row>
    <row r="13" spans="1:16" ht="10.7" customHeight="1">
      <c r="A13" s="13" t="s">
        <v>22</v>
      </c>
      <c r="B13" s="13"/>
      <c r="C13" s="13"/>
      <c r="D13" s="13"/>
      <c r="E13" s="13"/>
      <c r="F13" s="13"/>
      <c r="G13" s="13"/>
      <c r="H13" s="13"/>
      <c r="I13" s="9"/>
      <c r="J13" s="9"/>
      <c r="K13" s="9"/>
      <c r="L13" s="9"/>
      <c r="M13" s="9"/>
      <c r="N13" s="9"/>
      <c r="O13" s="9"/>
      <c r="P13" s="9"/>
    </row>
    <row r="14" spans="1:16" ht="10.7" customHeight="1">
      <c r="A14" s="13"/>
      <c r="B14" s="13"/>
      <c r="C14" s="13"/>
      <c r="D14" s="13"/>
      <c r="E14" s="13"/>
      <c r="F14" s="13"/>
      <c r="G14" s="13"/>
      <c r="H14" s="13"/>
      <c r="I14" s="9"/>
      <c r="J14" s="9"/>
      <c r="K14" s="9"/>
      <c r="L14" s="9"/>
      <c r="M14" s="9"/>
      <c r="N14" s="9"/>
      <c r="O14" s="9"/>
      <c r="P14" s="9"/>
    </row>
    <row r="15" spans="1:16" ht="10.7" customHeight="1">
      <c r="A15" s="13"/>
      <c r="B15" s="13"/>
      <c r="C15" s="13"/>
      <c r="D15" s="13"/>
      <c r="E15" s="13"/>
      <c r="F15" s="13"/>
      <c r="G15" s="13"/>
      <c r="H15" s="13"/>
      <c r="I15" s="9"/>
      <c r="J15" s="9"/>
      <c r="K15" s="9"/>
      <c r="L15" s="9"/>
      <c r="M15" s="9"/>
      <c r="N15" s="9"/>
      <c r="O15" s="9"/>
      <c r="P15" s="9"/>
    </row>
    <row r="16" spans="1:16" ht="10.7" customHeight="1">
      <c r="A16" s="13"/>
      <c r="B16" s="13"/>
      <c r="C16" s="13"/>
      <c r="D16" s="13"/>
      <c r="E16" s="13"/>
      <c r="F16" s="13"/>
      <c r="G16" s="13"/>
      <c r="H16" s="13"/>
      <c r="I16" s="9"/>
      <c r="J16" s="9"/>
      <c r="K16" s="9"/>
      <c r="L16" s="9"/>
      <c r="M16" s="9"/>
      <c r="N16" s="9"/>
      <c r="O16" s="9"/>
      <c r="P16" s="9"/>
    </row>
    <row r="17" spans="1:16" ht="10.7" customHeight="1">
      <c r="A17" s="13"/>
      <c r="B17" s="13"/>
      <c r="C17" s="13"/>
      <c r="D17" s="13"/>
      <c r="E17" s="13"/>
      <c r="F17" s="13"/>
      <c r="G17" s="13"/>
      <c r="H17" s="13"/>
      <c r="I17" s="9"/>
      <c r="J17" s="9"/>
      <c r="K17" s="9"/>
      <c r="L17" s="9"/>
      <c r="M17" s="9"/>
      <c r="N17" s="9"/>
      <c r="O17" s="9"/>
      <c r="P17" s="9"/>
    </row>
    <row r="18" spans="1:16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</sheetData>
  <mergeCells count="4">
    <mergeCell ref="A1:H1"/>
    <mergeCell ref="A2:H2"/>
    <mergeCell ref="A12:H12"/>
    <mergeCell ref="A13:H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32"/>
  <sheetViews>
    <sheetView tabSelected="1" topLeftCell="A87" workbookViewId="0">
      <selection sqref="A1:XFD1048576"/>
    </sheetView>
  </sheetViews>
  <sheetFormatPr defaultRowHeight="13.7"/>
  <cols>
    <col min="1" max="1" width="11" customWidth="1"/>
    <col min="2" max="2" width="9" customWidth="1"/>
    <col min="3" max="3" width="28" customWidth="1"/>
    <col min="4" max="5" width="24" customWidth="1"/>
    <col min="6" max="6" width="18" customWidth="1"/>
    <col min="7" max="7" width="16" customWidth="1"/>
    <col min="8" max="8" width="46" customWidth="1"/>
    <col min="9" max="10" width="38" customWidth="1"/>
    <col min="11" max="11" width="48" customWidth="1"/>
    <col min="12" max="12" width="12" customWidth="1"/>
    <col min="13" max="13" width="15" customWidth="1"/>
    <col min="14" max="14" width="12" customWidth="1"/>
    <col min="15" max="15" width="32" customWidth="1"/>
    <col min="16" max="16" width="24" customWidth="1"/>
    <col min="17" max="17" width="28" customWidth="1"/>
    <col min="18" max="18" width="32" customWidth="1"/>
    <col min="19" max="19" width="14" customWidth="1"/>
    <col min="20" max="20" width="28" customWidth="1"/>
    <col min="21" max="21" width="26" customWidth="1"/>
    <col min="22" max="22" width="28" customWidth="1"/>
    <col min="23" max="23" width="14" customWidth="1"/>
    <col min="24" max="24" width="13" customWidth="1"/>
    <col min="25" max="25" width="26" customWidth="1"/>
  </cols>
  <sheetData>
    <row r="1" spans="1: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  <c r="X1" s="3" t="s">
        <v>46</v>
      </c>
      <c r="Y1" s="3" t="s">
        <v>47</v>
      </c>
    </row>
    <row r="2" spans="1:25" ht="54.7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58</v>
      </c>
      <c r="L2" s="4" t="s">
        <v>8</v>
      </c>
      <c r="M2" s="4" t="s">
        <v>59</v>
      </c>
      <c r="N2" s="4" t="s">
        <v>60</v>
      </c>
      <c r="O2" s="4" t="s">
        <v>61</v>
      </c>
      <c r="P2" s="4" t="s">
        <v>62</v>
      </c>
      <c r="Q2" s="4" t="s">
        <v>63</v>
      </c>
      <c r="R2" s="4" t="s">
        <v>64</v>
      </c>
      <c r="S2" s="4" t="s">
        <v>65</v>
      </c>
      <c r="T2" s="4" t="s">
        <v>66</v>
      </c>
      <c r="U2" s="4" t="s">
        <v>67</v>
      </c>
      <c r="V2" s="4" t="s">
        <v>68</v>
      </c>
      <c r="W2" s="4" t="s">
        <v>69</v>
      </c>
      <c r="X2" s="4" t="s">
        <v>70</v>
      </c>
      <c r="Y2" s="4"/>
    </row>
    <row r="3" spans="1:25" ht="41">
      <c r="A3" s="4" t="s">
        <v>71</v>
      </c>
      <c r="B3" s="4" t="s">
        <v>49</v>
      </c>
      <c r="C3" s="4" t="s">
        <v>50</v>
      </c>
      <c r="D3" s="4" t="s">
        <v>72</v>
      </c>
      <c r="E3" s="4" t="s">
        <v>73</v>
      </c>
      <c r="F3" s="4" t="s">
        <v>74</v>
      </c>
      <c r="G3" s="4" t="s">
        <v>54</v>
      </c>
      <c r="H3" s="4" t="s">
        <v>75</v>
      </c>
      <c r="I3" s="4" t="s">
        <v>76</v>
      </c>
      <c r="J3" s="4" t="s">
        <v>77</v>
      </c>
      <c r="K3" s="4" t="s">
        <v>78</v>
      </c>
      <c r="L3" s="4" t="s">
        <v>8</v>
      </c>
      <c r="M3" s="4" t="s">
        <v>59</v>
      </c>
      <c r="N3" s="4" t="s">
        <v>60</v>
      </c>
      <c r="O3" s="4" t="s">
        <v>79</v>
      </c>
      <c r="P3" s="4" t="s">
        <v>62</v>
      </c>
      <c r="Q3" s="4" t="s">
        <v>80</v>
      </c>
      <c r="R3" s="4" t="s">
        <v>81</v>
      </c>
      <c r="S3" s="4" t="s">
        <v>65</v>
      </c>
      <c r="T3" s="4" t="s">
        <v>66</v>
      </c>
      <c r="U3" s="4" t="s">
        <v>82</v>
      </c>
      <c r="V3" s="4" t="s">
        <v>83</v>
      </c>
      <c r="W3" s="4" t="s">
        <v>69</v>
      </c>
      <c r="X3" s="4" t="s">
        <v>70</v>
      </c>
      <c r="Y3" s="4"/>
    </row>
    <row r="4" spans="1:25" ht="54.7">
      <c r="A4" s="4" t="s">
        <v>84</v>
      </c>
      <c r="B4" s="4" t="s">
        <v>49</v>
      </c>
      <c r="C4" s="4" t="s">
        <v>50</v>
      </c>
      <c r="D4" s="4" t="s">
        <v>85</v>
      </c>
      <c r="E4" s="4" t="s">
        <v>86</v>
      </c>
      <c r="F4" s="4" t="s">
        <v>87</v>
      </c>
      <c r="G4" s="4" t="s">
        <v>54</v>
      </c>
      <c r="H4" s="4" t="s">
        <v>88</v>
      </c>
      <c r="I4" s="4" t="s">
        <v>89</v>
      </c>
      <c r="J4" s="4" t="s">
        <v>90</v>
      </c>
      <c r="K4" s="4" t="s">
        <v>91</v>
      </c>
      <c r="L4" s="4" t="s">
        <v>8</v>
      </c>
      <c r="M4" s="4" t="s">
        <v>59</v>
      </c>
      <c r="N4" s="4" t="s">
        <v>60</v>
      </c>
      <c r="O4" s="4" t="s">
        <v>92</v>
      </c>
      <c r="P4" s="4" t="s">
        <v>93</v>
      </c>
      <c r="Q4" s="4" t="s">
        <v>80</v>
      </c>
      <c r="R4" s="4" t="s">
        <v>94</v>
      </c>
      <c r="S4" s="4" t="s">
        <v>65</v>
      </c>
      <c r="T4" s="4" t="s">
        <v>95</v>
      </c>
      <c r="U4" s="4" t="s">
        <v>96</v>
      </c>
      <c r="V4" s="4" t="s">
        <v>97</v>
      </c>
      <c r="W4" s="4" t="s">
        <v>98</v>
      </c>
      <c r="X4" s="4" t="s">
        <v>70</v>
      </c>
      <c r="Y4" s="4"/>
    </row>
    <row r="5" spans="1:25" ht="41">
      <c r="A5" s="4" t="s">
        <v>99</v>
      </c>
      <c r="B5" s="4" t="s">
        <v>49</v>
      </c>
      <c r="C5" s="4" t="s">
        <v>50</v>
      </c>
      <c r="D5" s="4" t="s">
        <v>100</v>
      </c>
      <c r="E5" s="4" t="s">
        <v>101</v>
      </c>
      <c r="F5" s="4" t="s">
        <v>101</v>
      </c>
      <c r="G5" s="4" t="s">
        <v>102</v>
      </c>
      <c r="H5" s="4" t="s">
        <v>103</v>
      </c>
      <c r="I5" s="4" t="s">
        <v>104</v>
      </c>
      <c r="J5" s="4" t="s">
        <v>105</v>
      </c>
      <c r="K5" s="4" t="s">
        <v>106</v>
      </c>
      <c r="L5" s="4" t="s">
        <v>11</v>
      </c>
      <c r="M5" s="4" t="s">
        <v>59</v>
      </c>
      <c r="N5" s="4" t="s">
        <v>60</v>
      </c>
      <c r="O5" s="4" t="s">
        <v>107</v>
      </c>
      <c r="P5" s="4" t="s">
        <v>62</v>
      </c>
      <c r="Q5" s="4" t="s">
        <v>108</v>
      </c>
      <c r="R5" s="4" t="s">
        <v>109</v>
      </c>
      <c r="S5" s="4" t="s">
        <v>65</v>
      </c>
      <c r="T5" s="4" t="s">
        <v>66</v>
      </c>
      <c r="U5" s="4" t="s">
        <v>110</v>
      </c>
      <c r="V5" s="4" t="s">
        <v>111</v>
      </c>
      <c r="W5" s="4" t="s">
        <v>69</v>
      </c>
      <c r="X5" s="4" t="s">
        <v>70</v>
      </c>
      <c r="Y5" s="4"/>
    </row>
    <row r="6" spans="1:25" ht="54.7">
      <c r="A6" s="4" t="s">
        <v>112</v>
      </c>
      <c r="B6" s="4" t="s">
        <v>49</v>
      </c>
      <c r="C6" s="4" t="s">
        <v>50</v>
      </c>
      <c r="D6" s="4" t="s">
        <v>113</v>
      </c>
      <c r="E6" s="4" t="s">
        <v>114</v>
      </c>
      <c r="F6" s="4" t="s">
        <v>115</v>
      </c>
      <c r="G6" s="4" t="s">
        <v>54</v>
      </c>
      <c r="H6" s="4" t="s">
        <v>116</v>
      </c>
      <c r="I6" s="4" t="s">
        <v>117</v>
      </c>
      <c r="J6" s="4" t="s">
        <v>118</v>
      </c>
      <c r="K6" s="4" t="s">
        <v>119</v>
      </c>
      <c r="L6" s="4" t="s">
        <v>8</v>
      </c>
      <c r="M6" s="4" t="s">
        <v>59</v>
      </c>
      <c r="N6" s="4" t="s">
        <v>60</v>
      </c>
      <c r="O6" s="4" t="s">
        <v>92</v>
      </c>
      <c r="P6" s="4" t="s">
        <v>120</v>
      </c>
      <c r="Q6" s="4" t="s">
        <v>63</v>
      </c>
      <c r="R6" s="4" t="s">
        <v>121</v>
      </c>
      <c r="S6" s="4" t="s">
        <v>65</v>
      </c>
      <c r="T6" s="4" t="s">
        <v>122</v>
      </c>
      <c r="U6" s="4" t="s">
        <v>123</v>
      </c>
      <c r="V6" s="4" t="s">
        <v>83</v>
      </c>
      <c r="W6" s="4" t="s">
        <v>69</v>
      </c>
      <c r="X6" s="4" t="s">
        <v>70</v>
      </c>
      <c r="Y6" s="4"/>
    </row>
    <row r="7" spans="1:25" ht="54.7">
      <c r="A7" s="4" t="s">
        <v>124</v>
      </c>
      <c r="B7" s="4" t="s">
        <v>49</v>
      </c>
      <c r="C7" s="4" t="s">
        <v>50</v>
      </c>
      <c r="D7" s="4" t="s">
        <v>125</v>
      </c>
      <c r="E7" s="4" t="s">
        <v>126</v>
      </c>
      <c r="F7" s="4" t="s">
        <v>127</v>
      </c>
      <c r="G7" s="4" t="s">
        <v>128</v>
      </c>
      <c r="H7" s="4" t="s">
        <v>129</v>
      </c>
      <c r="I7" s="4" t="s">
        <v>130</v>
      </c>
      <c r="J7" s="4" t="s">
        <v>131</v>
      </c>
      <c r="K7" s="4" t="s">
        <v>132</v>
      </c>
      <c r="L7" s="4" t="s">
        <v>8</v>
      </c>
      <c r="M7" s="4" t="s">
        <v>59</v>
      </c>
      <c r="N7" s="4" t="s">
        <v>60</v>
      </c>
      <c r="O7" s="4" t="s">
        <v>92</v>
      </c>
      <c r="P7" s="4" t="s">
        <v>133</v>
      </c>
      <c r="Q7" s="4" t="s">
        <v>134</v>
      </c>
      <c r="R7" s="4" t="s">
        <v>135</v>
      </c>
      <c r="S7" s="4" t="s">
        <v>127</v>
      </c>
      <c r="T7" s="4" t="s">
        <v>136</v>
      </c>
      <c r="U7" s="4" t="s">
        <v>137</v>
      </c>
      <c r="V7" s="4" t="s">
        <v>138</v>
      </c>
      <c r="W7" s="4" t="s">
        <v>98</v>
      </c>
      <c r="X7" s="4" t="s">
        <v>70</v>
      </c>
      <c r="Y7" s="4"/>
    </row>
    <row r="8" spans="1:25" ht="54.7">
      <c r="A8" s="4" t="s">
        <v>139</v>
      </c>
      <c r="B8" s="4" t="s">
        <v>49</v>
      </c>
      <c r="C8" s="4" t="s">
        <v>50</v>
      </c>
      <c r="D8" s="4" t="s">
        <v>140</v>
      </c>
      <c r="E8" s="4" t="s">
        <v>141</v>
      </c>
      <c r="F8" s="4" t="s">
        <v>142</v>
      </c>
      <c r="G8" s="4" t="s">
        <v>54</v>
      </c>
      <c r="H8" s="4" t="s">
        <v>143</v>
      </c>
      <c r="I8" s="4" t="s">
        <v>144</v>
      </c>
      <c r="J8" s="4" t="s">
        <v>145</v>
      </c>
      <c r="K8" s="4" t="s">
        <v>146</v>
      </c>
      <c r="L8" s="4" t="s">
        <v>8</v>
      </c>
      <c r="M8" s="4" t="s">
        <v>59</v>
      </c>
      <c r="N8" s="4" t="s">
        <v>60</v>
      </c>
      <c r="O8" s="4" t="s">
        <v>92</v>
      </c>
      <c r="P8" s="4" t="s">
        <v>147</v>
      </c>
      <c r="Q8" s="4" t="s">
        <v>80</v>
      </c>
      <c r="R8" s="4" t="s">
        <v>148</v>
      </c>
      <c r="S8" s="4" t="s">
        <v>65</v>
      </c>
      <c r="T8" s="4" t="s">
        <v>149</v>
      </c>
      <c r="U8" s="4" t="s">
        <v>137</v>
      </c>
      <c r="V8" s="4" t="s">
        <v>83</v>
      </c>
      <c r="W8" s="4" t="s">
        <v>98</v>
      </c>
      <c r="X8" s="4" t="s">
        <v>70</v>
      </c>
      <c r="Y8" s="4"/>
    </row>
    <row r="9" spans="1:25" ht="41">
      <c r="A9" s="4" t="s">
        <v>150</v>
      </c>
      <c r="B9" s="4" t="s">
        <v>49</v>
      </c>
      <c r="C9" s="4" t="s">
        <v>50</v>
      </c>
      <c r="D9" s="4" t="s">
        <v>151</v>
      </c>
      <c r="E9" s="4" t="s">
        <v>114</v>
      </c>
      <c r="F9" s="4" t="s">
        <v>115</v>
      </c>
      <c r="G9" s="4" t="s">
        <v>54</v>
      </c>
      <c r="H9" s="4" t="s">
        <v>152</v>
      </c>
      <c r="I9" s="4" t="s">
        <v>153</v>
      </c>
      <c r="J9" s="4" t="s">
        <v>154</v>
      </c>
      <c r="K9" s="4" t="s">
        <v>155</v>
      </c>
      <c r="L9" s="4" t="s">
        <v>11</v>
      </c>
      <c r="M9" s="4" t="s">
        <v>59</v>
      </c>
      <c r="N9" s="4" t="s">
        <v>60</v>
      </c>
      <c r="O9" s="4" t="s">
        <v>92</v>
      </c>
      <c r="P9" s="4" t="s">
        <v>156</v>
      </c>
      <c r="Q9" s="4" t="s">
        <v>63</v>
      </c>
      <c r="R9" s="4" t="s">
        <v>157</v>
      </c>
      <c r="S9" s="4" t="s">
        <v>65</v>
      </c>
      <c r="T9" s="4" t="s">
        <v>158</v>
      </c>
      <c r="U9" s="4" t="s">
        <v>159</v>
      </c>
      <c r="V9" s="4" t="s">
        <v>97</v>
      </c>
      <c r="W9" s="4" t="s">
        <v>98</v>
      </c>
      <c r="X9" s="4" t="s">
        <v>70</v>
      </c>
      <c r="Y9" s="4"/>
    </row>
    <row r="10" spans="1:25" ht="54.7">
      <c r="A10" s="4" t="s">
        <v>160</v>
      </c>
      <c r="B10" s="4" t="s">
        <v>49</v>
      </c>
      <c r="C10" s="4" t="s">
        <v>50</v>
      </c>
      <c r="D10" s="4" t="s">
        <v>161</v>
      </c>
      <c r="E10" s="4" t="s">
        <v>162</v>
      </c>
      <c r="F10" s="4" t="s">
        <v>163</v>
      </c>
      <c r="G10" s="4" t="s">
        <v>54</v>
      </c>
      <c r="H10" s="4" t="s">
        <v>164</v>
      </c>
      <c r="I10" s="4" t="s">
        <v>165</v>
      </c>
      <c r="J10" s="4" t="s">
        <v>166</v>
      </c>
      <c r="K10" s="4" t="s">
        <v>167</v>
      </c>
      <c r="L10" s="4" t="s">
        <v>11</v>
      </c>
      <c r="M10" s="4" t="s">
        <v>168</v>
      </c>
      <c r="N10" s="4" t="s">
        <v>169</v>
      </c>
      <c r="O10" s="4" t="s">
        <v>170</v>
      </c>
      <c r="P10" s="4" t="s">
        <v>137</v>
      </c>
      <c r="Q10" s="4" t="s">
        <v>63</v>
      </c>
      <c r="R10" s="4" t="s">
        <v>171</v>
      </c>
      <c r="S10" s="4" t="s">
        <v>65</v>
      </c>
      <c r="T10" s="4" t="s">
        <v>172</v>
      </c>
      <c r="U10" s="4" t="s">
        <v>173</v>
      </c>
      <c r="V10" s="4" t="s">
        <v>83</v>
      </c>
      <c r="W10" s="4" t="s">
        <v>174</v>
      </c>
      <c r="X10" s="4" t="s">
        <v>70</v>
      </c>
      <c r="Y10" s="4"/>
    </row>
    <row r="11" spans="1:25" ht="54.7">
      <c r="A11" s="4" t="s">
        <v>175</v>
      </c>
      <c r="B11" s="4" t="s">
        <v>49</v>
      </c>
      <c r="C11" s="4" t="s">
        <v>50</v>
      </c>
      <c r="D11" s="4" t="s">
        <v>176</v>
      </c>
      <c r="E11" s="4" t="s">
        <v>177</v>
      </c>
      <c r="F11" s="4" t="s">
        <v>163</v>
      </c>
      <c r="G11" s="4" t="s">
        <v>178</v>
      </c>
      <c r="H11" s="4" t="s">
        <v>179</v>
      </c>
      <c r="I11" s="4" t="s">
        <v>180</v>
      </c>
      <c r="J11" s="4" t="s">
        <v>181</v>
      </c>
      <c r="K11" s="4" t="s">
        <v>182</v>
      </c>
      <c r="L11" s="4" t="s">
        <v>8</v>
      </c>
      <c r="M11" s="4" t="s">
        <v>59</v>
      </c>
      <c r="N11" s="4" t="s">
        <v>60</v>
      </c>
      <c r="O11" s="4" t="s">
        <v>183</v>
      </c>
      <c r="P11" s="4" t="s">
        <v>184</v>
      </c>
      <c r="Q11" s="4" t="s">
        <v>80</v>
      </c>
      <c r="R11" s="4" t="s">
        <v>185</v>
      </c>
      <c r="S11" s="4" t="s">
        <v>65</v>
      </c>
      <c r="T11" s="4" t="s">
        <v>186</v>
      </c>
      <c r="U11" s="4" t="s">
        <v>187</v>
      </c>
      <c r="V11" s="4" t="s">
        <v>83</v>
      </c>
      <c r="W11" s="4" t="s">
        <v>69</v>
      </c>
      <c r="X11" s="4" t="s">
        <v>70</v>
      </c>
      <c r="Y11" s="4"/>
    </row>
    <row r="12" spans="1:25" ht="54.7">
      <c r="A12" s="4" t="s">
        <v>188</v>
      </c>
      <c r="B12" s="4" t="s">
        <v>49</v>
      </c>
      <c r="C12" s="4" t="s">
        <v>50</v>
      </c>
      <c r="D12" s="4" t="s">
        <v>189</v>
      </c>
      <c r="E12" s="4" t="s">
        <v>190</v>
      </c>
      <c r="F12" s="4" t="s">
        <v>191</v>
      </c>
      <c r="G12" s="4" t="s">
        <v>178</v>
      </c>
      <c r="H12" s="4" t="s">
        <v>192</v>
      </c>
      <c r="I12" s="4" t="s">
        <v>193</v>
      </c>
      <c r="J12" s="4" t="s">
        <v>194</v>
      </c>
      <c r="K12" s="4" t="s">
        <v>195</v>
      </c>
      <c r="L12" s="4" t="s">
        <v>8</v>
      </c>
      <c r="M12" s="4" t="s">
        <v>59</v>
      </c>
      <c r="N12" s="4" t="s">
        <v>60</v>
      </c>
      <c r="O12" s="4" t="s">
        <v>196</v>
      </c>
      <c r="P12" s="4" t="s">
        <v>197</v>
      </c>
      <c r="Q12" s="4" t="s">
        <v>80</v>
      </c>
      <c r="R12" s="4" t="s">
        <v>198</v>
      </c>
      <c r="S12" s="4" t="s">
        <v>65</v>
      </c>
      <c r="T12" s="4" t="s">
        <v>199</v>
      </c>
      <c r="U12" s="4" t="s">
        <v>200</v>
      </c>
      <c r="V12" s="4" t="s">
        <v>201</v>
      </c>
      <c r="W12" s="4" t="s">
        <v>98</v>
      </c>
      <c r="X12" s="4" t="s">
        <v>70</v>
      </c>
      <c r="Y12" s="4"/>
    </row>
    <row r="13" spans="1:25" ht="54.7">
      <c r="A13" s="4" t="s">
        <v>202</v>
      </c>
      <c r="B13" s="4" t="s">
        <v>49</v>
      </c>
      <c r="C13" s="4" t="s">
        <v>50</v>
      </c>
      <c r="D13" s="4" t="s">
        <v>203</v>
      </c>
      <c r="E13" s="4" t="s">
        <v>177</v>
      </c>
      <c r="F13" s="4" t="s">
        <v>163</v>
      </c>
      <c r="G13" s="4" t="s">
        <v>178</v>
      </c>
      <c r="H13" s="4" t="s">
        <v>204</v>
      </c>
      <c r="I13" s="4" t="s">
        <v>205</v>
      </c>
      <c r="J13" s="4" t="s">
        <v>206</v>
      </c>
      <c r="K13" s="4" t="s">
        <v>207</v>
      </c>
      <c r="L13" s="4" t="s">
        <v>8</v>
      </c>
      <c r="M13" s="4" t="s">
        <v>59</v>
      </c>
      <c r="N13" s="4" t="s">
        <v>60</v>
      </c>
      <c r="O13" s="4" t="s">
        <v>208</v>
      </c>
      <c r="P13" s="4" t="s">
        <v>209</v>
      </c>
      <c r="Q13" s="4" t="s">
        <v>210</v>
      </c>
      <c r="R13" s="4" t="s">
        <v>211</v>
      </c>
      <c r="S13" s="4" t="s">
        <v>65</v>
      </c>
      <c r="T13" s="4" t="s">
        <v>212</v>
      </c>
      <c r="U13" s="4" t="s">
        <v>213</v>
      </c>
      <c r="V13" s="4" t="s">
        <v>214</v>
      </c>
      <c r="W13" s="4" t="s">
        <v>98</v>
      </c>
      <c r="X13" s="4" t="s">
        <v>70</v>
      </c>
      <c r="Y13" s="4"/>
    </row>
    <row r="14" spans="1:25" ht="54.7">
      <c r="A14" s="4" t="s">
        <v>215</v>
      </c>
      <c r="B14" s="4" t="s">
        <v>49</v>
      </c>
      <c r="C14" s="4" t="s">
        <v>50</v>
      </c>
      <c r="D14" s="4" t="s">
        <v>216</v>
      </c>
      <c r="E14" s="4" t="s">
        <v>141</v>
      </c>
      <c r="F14" s="4" t="s">
        <v>142</v>
      </c>
      <c r="G14" s="4" t="s">
        <v>178</v>
      </c>
      <c r="H14" s="4" t="s">
        <v>217</v>
      </c>
      <c r="I14" s="4" t="s">
        <v>218</v>
      </c>
      <c r="J14" s="4" t="s">
        <v>219</v>
      </c>
      <c r="K14" s="4" t="s">
        <v>220</v>
      </c>
      <c r="L14" s="4" t="s">
        <v>8</v>
      </c>
      <c r="M14" s="4" t="s">
        <v>59</v>
      </c>
      <c r="N14" s="4" t="s">
        <v>60</v>
      </c>
      <c r="O14" s="4" t="s">
        <v>221</v>
      </c>
      <c r="P14" s="4" t="s">
        <v>222</v>
      </c>
      <c r="Q14" s="4" t="s">
        <v>223</v>
      </c>
      <c r="R14" s="4" t="s">
        <v>224</v>
      </c>
      <c r="S14" s="4" t="s">
        <v>65</v>
      </c>
      <c r="T14" s="4" t="s">
        <v>225</v>
      </c>
      <c r="U14" s="4" t="s">
        <v>226</v>
      </c>
      <c r="V14" s="4" t="s">
        <v>227</v>
      </c>
      <c r="W14" s="4" t="s">
        <v>98</v>
      </c>
      <c r="X14" s="4" t="s">
        <v>70</v>
      </c>
      <c r="Y14" s="4"/>
    </row>
    <row r="15" spans="1:25" ht="54.7">
      <c r="A15" s="4" t="s">
        <v>228</v>
      </c>
      <c r="B15" s="4" t="s">
        <v>49</v>
      </c>
      <c r="C15" s="4" t="s">
        <v>50</v>
      </c>
      <c r="D15" s="4" t="s">
        <v>229</v>
      </c>
      <c r="E15" s="4" t="s">
        <v>126</v>
      </c>
      <c r="F15" s="4" t="s">
        <v>127</v>
      </c>
      <c r="G15" s="4" t="s">
        <v>178</v>
      </c>
      <c r="H15" s="4" t="s">
        <v>230</v>
      </c>
      <c r="I15" s="4" t="s">
        <v>231</v>
      </c>
      <c r="J15" s="4" t="s">
        <v>232</v>
      </c>
      <c r="K15" s="4" t="s">
        <v>233</v>
      </c>
      <c r="L15" s="4" t="s">
        <v>11</v>
      </c>
      <c r="M15" s="4" t="s">
        <v>59</v>
      </c>
      <c r="N15" s="4" t="s">
        <v>60</v>
      </c>
      <c r="O15" s="4" t="s">
        <v>234</v>
      </c>
      <c r="P15" s="4" t="s">
        <v>235</v>
      </c>
      <c r="Q15" s="4" t="s">
        <v>63</v>
      </c>
      <c r="R15" s="4" t="s">
        <v>236</v>
      </c>
      <c r="S15" s="4" t="s">
        <v>65</v>
      </c>
      <c r="T15" s="4" t="s">
        <v>237</v>
      </c>
      <c r="U15" s="4" t="s">
        <v>238</v>
      </c>
      <c r="V15" s="4" t="s">
        <v>97</v>
      </c>
      <c r="W15" s="4" t="s">
        <v>69</v>
      </c>
      <c r="X15" s="4" t="s">
        <v>70</v>
      </c>
      <c r="Y15" s="4"/>
    </row>
    <row r="16" spans="1:25" ht="54.7">
      <c r="A16" s="4" t="s">
        <v>239</v>
      </c>
      <c r="B16" s="4" t="s">
        <v>49</v>
      </c>
      <c r="C16" s="4" t="s">
        <v>50</v>
      </c>
      <c r="D16" s="4" t="s">
        <v>240</v>
      </c>
      <c r="E16" s="4" t="s">
        <v>241</v>
      </c>
      <c r="F16" s="4" t="s">
        <v>242</v>
      </c>
      <c r="G16" s="4" t="s">
        <v>178</v>
      </c>
      <c r="H16" s="4" t="s">
        <v>243</v>
      </c>
      <c r="I16" s="4" t="s">
        <v>244</v>
      </c>
      <c r="J16" s="4" t="s">
        <v>245</v>
      </c>
      <c r="K16" s="4" t="s">
        <v>246</v>
      </c>
      <c r="L16" s="4" t="s">
        <v>14</v>
      </c>
      <c r="M16" s="4" t="s">
        <v>168</v>
      </c>
      <c r="N16" s="4" t="s">
        <v>169</v>
      </c>
      <c r="O16" s="4" t="s">
        <v>247</v>
      </c>
      <c r="P16" s="4" t="s">
        <v>248</v>
      </c>
      <c r="Q16" s="4" t="s">
        <v>80</v>
      </c>
      <c r="R16" s="4" t="s">
        <v>249</v>
      </c>
      <c r="S16" s="4" t="s">
        <v>65</v>
      </c>
      <c r="T16" s="4" t="s">
        <v>250</v>
      </c>
      <c r="U16" s="4" t="s">
        <v>251</v>
      </c>
      <c r="V16" s="4" t="s">
        <v>97</v>
      </c>
      <c r="W16" s="4" t="s">
        <v>98</v>
      </c>
      <c r="X16" s="4" t="s">
        <v>70</v>
      </c>
      <c r="Y16" s="4"/>
    </row>
    <row r="17" spans="1:25" ht="54.7">
      <c r="A17" s="4" t="s">
        <v>252</v>
      </c>
      <c r="B17" s="4" t="s">
        <v>49</v>
      </c>
      <c r="C17" s="4" t="s">
        <v>50</v>
      </c>
      <c r="D17" s="4" t="s">
        <v>253</v>
      </c>
      <c r="E17" s="4" t="s">
        <v>254</v>
      </c>
      <c r="F17" s="4" t="s">
        <v>255</v>
      </c>
      <c r="G17" s="4" t="s">
        <v>54</v>
      </c>
      <c r="H17" s="4" t="s">
        <v>256</v>
      </c>
      <c r="I17" s="4" t="s">
        <v>257</v>
      </c>
      <c r="J17" s="4" t="s">
        <v>258</v>
      </c>
      <c r="K17" s="4" t="s">
        <v>259</v>
      </c>
      <c r="L17" s="4" t="s">
        <v>14</v>
      </c>
      <c r="M17" s="4" t="s">
        <v>168</v>
      </c>
      <c r="N17" s="4" t="s">
        <v>169</v>
      </c>
      <c r="O17" s="4" t="s">
        <v>260</v>
      </c>
      <c r="P17" s="4" t="s">
        <v>261</v>
      </c>
      <c r="Q17" s="4" t="s">
        <v>262</v>
      </c>
      <c r="R17" s="4" t="s">
        <v>263</v>
      </c>
      <c r="S17" s="4" t="s">
        <v>65</v>
      </c>
      <c r="T17" s="4" t="s">
        <v>264</v>
      </c>
      <c r="U17" s="4" t="s">
        <v>265</v>
      </c>
      <c r="V17" s="4" t="s">
        <v>97</v>
      </c>
      <c r="W17" s="4" t="s">
        <v>98</v>
      </c>
      <c r="X17" s="4" t="s">
        <v>70</v>
      </c>
      <c r="Y17" s="4"/>
    </row>
    <row r="18" spans="1:25" ht="54.7">
      <c r="A18" s="4" t="s">
        <v>266</v>
      </c>
      <c r="B18" s="4" t="s">
        <v>49</v>
      </c>
      <c r="C18" s="4" t="s">
        <v>50</v>
      </c>
      <c r="D18" s="4" t="s">
        <v>267</v>
      </c>
      <c r="E18" s="4" t="s">
        <v>177</v>
      </c>
      <c r="F18" s="4" t="s">
        <v>163</v>
      </c>
      <c r="G18" s="4" t="s">
        <v>178</v>
      </c>
      <c r="H18" s="4" t="s">
        <v>268</v>
      </c>
      <c r="I18" s="4" t="s">
        <v>269</v>
      </c>
      <c r="J18" s="4" t="s">
        <v>270</v>
      </c>
      <c r="K18" s="4" t="s">
        <v>271</v>
      </c>
      <c r="L18" s="4" t="s">
        <v>8</v>
      </c>
      <c r="M18" s="4" t="s">
        <v>59</v>
      </c>
      <c r="N18" s="4" t="s">
        <v>60</v>
      </c>
      <c r="O18" s="4" t="s">
        <v>272</v>
      </c>
      <c r="P18" s="4" t="s">
        <v>273</v>
      </c>
      <c r="Q18" s="4" t="s">
        <v>63</v>
      </c>
      <c r="R18" s="4" t="s">
        <v>274</v>
      </c>
      <c r="S18" s="4" t="s">
        <v>65</v>
      </c>
      <c r="T18" s="4" t="s">
        <v>275</v>
      </c>
      <c r="U18" s="4" t="s">
        <v>276</v>
      </c>
      <c r="V18" s="4" t="s">
        <v>83</v>
      </c>
      <c r="W18" s="4" t="s">
        <v>69</v>
      </c>
      <c r="X18" s="4" t="s">
        <v>70</v>
      </c>
      <c r="Y18" s="4"/>
    </row>
    <row r="19" spans="1:25" ht="54.7">
      <c r="A19" s="4" t="s">
        <v>277</v>
      </c>
      <c r="B19" s="4" t="s">
        <v>278</v>
      </c>
      <c r="C19" s="4" t="s">
        <v>279</v>
      </c>
      <c r="D19" s="4" t="s">
        <v>238</v>
      </c>
      <c r="E19" s="4" t="s">
        <v>126</v>
      </c>
      <c r="F19" s="4" t="s">
        <v>127</v>
      </c>
      <c r="G19" s="4" t="s">
        <v>178</v>
      </c>
      <c r="H19" s="4" t="s">
        <v>280</v>
      </c>
      <c r="I19" s="4" t="s">
        <v>281</v>
      </c>
      <c r="J19" s="4" t="s">
        <v>282</v>
      </c>
      <c r="K19" s="4" t="s">
        <v>283</v>
      </c>
      <c r="L19" s="4" t="s">
        <v>8</v>
      </c>
      <c r="M19" s="4" t="s">
        <v>59</v>
      </c>
      <c r="N19" s="4" t="s">
        <v>60</v>
      </c>
      <c r="O19" s="4" t="s">
        <v>284</v>
      </c>
      <c r="P19" s="4" t="s">
        <v>285</v>
      </c>
      <c r="Q19" s="4" t="s">
        <v>286</v>
      </c>
      <c r="R19" s="4" t="s">
        <v>287</v>
      </c>
      <c r="S19" s="4" t="s">
        <v>127</v>
      </c>
      <c r="T19" s="4" t="s">
        <v>288</v>
      </c>
      <c r="U19" s="4" t="s">
        <v>289</v>
      </c>
      <c r="V19" s="4" t="s">
        <v>290</v>
      </c>
      <c r="W19" s="4" t="s">
        <v>291</v>
      </c>
      <c r="X19" s="4" t="s">
        <v>70</v>
      </c>
      <c r="Y19" s="4"/>
    </row>
    <row r="20" spans="1:25" ht="54.7">
      <c r="A20" s="4" t="s">
        <v>292</v>
      </c>
      <c r="B20" s="4" t="s">
        <v>278</v>
      </c>
      <c r="C20" s="4" t="s">
        <v>279</v>
      </c>
      <c r="D20" s="4" t="s">
        <v>293</v>
      </c>
      <c r="E20" s="4" t="s">
        <v>141</v>
      </c>
      <c r="F20" s="4" t="s">
        <v>142</v>
      </c>
      <c r="G20" s="4" t="s">
        <v>128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8</v>
      </c>
      <c r="M20" s="4" t="s">
        <v>59</v>
      </c>
      <c r="N20" s="4" t="s">
        <v>60</v>
      </c>
      <c r="O20" s="4" t="s">
        <v>298</v>
      </c>
      <c r="P20" s="4" t="s">
        <v>299</v>
      </c>
      <c r="Q20" s="4" t="s">
        <v>80</v>
      </c>
      <c r="R20" s="4" t="s">
        <v>300</v>
      </c>
      <c r="S20" s="4" t="s">
        <v>65</v>
      </c>
      <c r="T20" s="4" t="s">
        <v>301</v>
      </c>
      <c r="U20" s="4" t="s">
        <v>302</v>
      </c>
      <c r="V20" s="4" t="s">
        <v>83</v>
      </c>
      <c r="W20" s="4" t="s">
        <v>98</v>
      </c>
      <c r="X20" s="4" t="s">
        <v>70</v>
      </c>
      <c r="Y20" s="4"/>
    </row>
    <row r="21" spans="1:25" ht="54.7">
      <c r="A21" s="4" t="s">
        <v>303</v>
      </c>
      <c r="B21" s="4" t="s">
        <v>278</v>
      </c>
      <c r="C21" s="4" t="s">
        <v>279</v>
      </c>
      <c r="D21" s="4" t="s">
        <v>304</v>
      </c>
      <c r="E21" s="4" t="s">
        <v>177</v>
      </c>
      <c r="F21" s="4" t="s">
        <v>163</v>
      </c>
      <c r="G21" s="4" t="s">
        <v>178</v>
      </c>
      <c r="H21" s="4" t="s">
        <v>305</v>
      </c>
      <c r="I21" s="4" t="s">
        <v>306</v>
      </c>
      <c r="J21" s="4" t="s">
        <v>307</v>
      </c>
      <c r="K21" s="4" t="s">
        <v>308</v>
      </c>
      <c r="L21" s="4" t="s">
        <v>8</v>
      </c>
      <c r="M21" s="4" t="s">
        <v>59</v>
      </c>
      <c r="N21" s="4" t="s">
        <v>60</v>
      </c>
      <c r="O21" s="4" t="s">
        <v>309</v>
      </c>
      <c r="P21" s="4" t="s">
        <v>310</v>
      </c>
      <c r="Q21" s="4" t="s">
        <v>311</v>
      </c>
      <c r="R21" s="4" t="s">
        <v>312</v>
      </c>
      <c r="S21" s="4" t="s">
        <v>65</v>
      </c>
      <c r="T21" s="4" t="s">
        <v>313</v>
      </c>
      <c r="U21" s="4" t="s">
        <v>238</v>
      </c>
      <c r="V21" s="4" t="s">
        <v>214</v>
      </c>
      <c r="W21" s="4" t="s">
        <v>69</v>
      </c>
      <c r="X21" s="4" t="s">
        <v>70</v>
      </c>
      <c r="Y21" s="4"/>
    </row>
    <row r="22" spans="1:25" ht="54.7">
      <c r="A22" s="4" t="s">
        <v>314</v>
      </c>
      <c r="B22" s="4" t="s">
        <v>278</v>
      </c>
      <c r="C22" s="4" t="s">
        <v>279</v>
      </c>
      <c r="D22" s="4" t="s">
        <v>315</v>
      </c>
      <c r="E22" s="4" t="s">
        <v>177</v>
      </c>
      <c r="F22" s="4" t="s">
        <v>163</v>
      </c>
      <c r="G22" s="4" t="s">
        <v>178</v>
      </c>
      <c r="H22" s="4" t="s">
        <v>316</v>
      </c>
      <c r="I22" s="4" t="s">
        <v>317</v>
      </c>
      <c r="J22" s="4" t="s">
        <v>318</v>
      </c>
      <c r="K22" s="4" t="s">
        <v>319</v>
      </c>
      <c r="L22" s="4" t="s">
        <v>11</v>
      </c>
      <c r="M22" s="4" t="s">
        <v>59</v>
      </c>
      <c r="N22" s="4" t="s">
        <v>60</v>
      </c>
      <c r="O22" s="4" t="s">
        <v>320</v>
      </c>
      <c r="P22" s="4" t="s">
        <v>321</v>
      </c>
      <c r="Q22" s="4" t="s">
        <v>322</v>
      </c>
      <c r="R22" s="4" t="s">
        <v>323</v>
      </c>
      <c r="S22" s="4" t="s">
        <v>65</v>
      </c>
      <c r="T22" s="4" t="s">
        <v>324</v>
      </c>
      <c r="U22" s="4" t="s">
        <v>304</v>
      </c>
      <c r="V22" s="4" t="s">
        <v>214</v>
      </c>
      <c r="W22" s="4" t="s">
        <v>69</v>
      </c>
      <c r="X22" s="4" t="s">
        <v>70</v>
      </c>
      <c r="Y22" s="4"/>
    </row>
    <row r="23" spans="1:25" ht="54.7">
      <c r="A23" s="4" t="s">
        <v>325</v>
      </c>
      <c r="B23" s="4" t="s">
        <v>278</v>
      </c>
      <c r="C23" s="4" t="s">
        <v>279</v>
      </c>
      <c r="D23" s="4" t="s">
        <v>326</v>
      </c>
      <c r="E23" s="4" t="s">
        <v>327</v>
      </c>
      <c r="F23" s="4" t="s">
        <v>74</v>
      </c>
      <c r="G23" s="4" t="s">
        <v>54</v>
      </c>
      <c r="H23" s="4" t="s">
        <v>328</v>
      </c>
      <c r="I23" s="4" t="s">
        <v>329</v>
      </c>
      <c r="J23" s="4" t="s">
        <v>330</v>
      </c>
      <c r="K23" s="4" t="s">
        <v>331</v>
      </c>
      <c r="L23" s="4" t="s">
        <v>8</v>
      </c>
      <c r="M23" s="4" t="s">
        <v>59</v>
      </c>
      <c r="N23" s="4" t="s">
        <v>60</v>
      </c>
      <c r="O23" s="4" t="s">
        <v>332</v>
      </c>
      <c r="P23" s="4" t="s">
        <v>333</v>
      </c>
      <c r="Q23" s="4" t="s">
        <v>63</v>
      </c>
      <c r="R23" s="4" t="s">
        <v>334</v>
      </c>
      <c r="S23" s="4" t="s">
        <v>335</v>
      </c>
      <c r="T23" s="4" t="s">
        <v>199</v>
      </c>
      <c r="U23" s="4" t="s">
        <v>336</v>
      </c>
      <c r="V23" s="4" t="s">
        <v>214</v>
      </c>
      <c r="W23" s="4" t="s">
        <v>69</v>
      </c>
      <c r="X23" s="4" t="s">
        <v>70</v>
      </c>
      <c r="Y23" s="4"/>
    </row>
    <row r="24" spans="1:25" ht="54.7">
      <c r="A24" s="4" t="s">
        <v>337</v>
      </c>
      <c r="B24" s="4" t="s">
        <v>278</v>
      </c>
      <c r="C24" s="4" t="s">
        <v>279</v>
      </c>
      <c r="D24" s="4" t="s">
        <v>338</v>
      </c>
      <c r="E24" s="4" t="s">
        <v>339</v>
      </c>
      <c r="F24" s="4" t="s">
        <v>74</v>
      </c>
      <c r="G24" s="4" t="s">
        <v>54</v>
      </c>
      <c r="H24" s="4" t="s">
        <v>340</v>
      </c>
      <c r="I24" s="4" t="s">
        <v>341</v>
      </c>
      <c r="J24" s="4" t="s">
        <v>342</v>
      </c>
      <c r="K24" s="4" t="s">
        <v>343</v>
      </c>
      <c r="L24" s="4" t="s">
        <v>11</v>
      </c>
      <c r="M24" s="4" t="s">
        <v>59</v>
      </c>
      <c r="N24" s="4" t="s">
        <v>60</v>
      </c>
      <c r="O24" s="4" t="s">
        <v>344</v>
      </c>
      <c r="P24" s="4" t="s">
        <v>345</v>
      </c>
      <c r="Q24" s="4" t="s">
        <v>80</v>
      </c>
      <c r="R24" s="4" t="s">
        <v>346</v>
      </c>
      <c r="S24" s="4" t="s">
        <v>335</v>
      </c>
      <c r="T24" s="4" t="s">
        <v>347</v>
      </c>
      <c r="U24" s="4" t="s">
        <v>348</v>
      </c>
      <c r="V24" s="4" t="s">
        <v>97</v>
      </c>
      <c r="W24" s="4" t="s">
        <v>349</v>
      </c>
      <c r="X24" s="4" t="s">
        <v>70</v>
      </c>
      <c r="Y24" s="4"/>
    </row>
    <row r="25" spans="1:25" ht="54.7">
      <c r="A25" s="4" t="s">
        <v>350</v>
      </c>
      <c r="B25" s="4" t="s">
        <v>278</v>
      </c>
      <c r="C25" s="4" t="s">
        <v>279</v>
      </c>
      <c r="D25" s="4" t="s">
        <v>351</v>
      </c>
      <c r="E25" s="4" t="s">
        <v>352</v>
      </c>
      <c r="F25" s="4" t="s">
        <v>353</v>
      </c>
      <c r="G25" s="4" t="s">
        <v>178</v>
      </c>
      <c r="H25" s="4" t="s">
        <v>354</v>
      </c>
      <c r="I25" s="4" t="s">
        <v>355</v>
      </c>
      <c r="J25" s="4" t="s">
        <v>356</v>
      </c>
      <c r="K25" s="4" t="s">
        <v>357</v>
      </c>
      <c r="L25" s="4" t="s">
        <v>14</v>
      </c>
      <c r="M25" s="4" t="s">
        <v>168</v>
      </c>
      <c r="N25" s="4" t="s">
        <v>169</v>
      </c>
      <c r="O25" s="4" t="s">
        <v>358</v>
      </c>
      <c r="P25" s="4" t="s">
        <v>359</v>
      </c>
      <c r="Q25" s="4" t="s">
        <v>311</v>
      </c>
      <c r="R25" s="4" t="s">
        <v>360</v>
      </c>
      <c r="S25" s="4" t="s">
        <v>335</v>
      </c>
      <c r="T25" s="4" t="s">
        <v>361</v>
      </c>
      <c r="U25" s="4" t="s">
        <v>293</v>
      </c>
      <c r="V25" s="4" t="s">
        <v>97</v>
      </c>
      <c r="W25" s="4" t="s">
        <v>69</v>
      </c>
      <c r="X25" s="4" t="s">
        <v>70</v>
      </c>
      <c r="Y25" s="4"/>
    </row>
    <row r="26" spans="1:25" ht="54.7">
      <c r="A26" s="4" t="s">
        <v>362</v>
      </c>
      <c r="B26" s="4" t="s">
        <v>278</v>
      </c>
      <c r="C26" s="4" t="s">
        <v>279</v>
      </c>
      <c r="D26" s="4" t="s">
        <v>363</v>
      </c>
      <c r="E26" s="4" t="s">
        <v>177</v>
      </c>
      <c r="F26" s="4" t="s">
        <v>163</v>
      </c>
      <c r="G26" s="4" t="s">
        <v>178</v>
      </c>
      <c r="H26" s="4" t="s">
        <v>364</v>
      </c>
      <c r="I26" s="4" t="s">
        <v>365</v>
      </c>
      <c r="J26" s="4" t="s">
        <v>366</v>
      </c>
      <c r="K26" s="4" t="s">
        <v>367</v>
      </c>
      <c r="L26" s="4" t="s">
        <v>8</v>
      </c>
      <c r="M26" s="4" t="s">
        <v>59</v>
      </c>
      <c r="N26" s="4" t="s">
        <v>60</v>
      </c>
      <c r="O26" s="4" t="s">
        <v>368</v>
      </c>
      <c r="P26" s="4" t="s">
        <v>369</v>
      </c>
      <c r="Q26" s="4" t="s">
        <v>370</v>
      </c>
      <c r="R26" s="4" t="s">
        <v>371</v>
      </c>
      <c r="S26" s="4" t="s">
        <v>335</v>
      </c>
      <c r="T26" s="4" t="s">
        <v>372</v>
      </c>
      <c r="U26" s="4" t="s">
        <v>373</v>
      </c>
      <c r="V26" s="4" t="s">
        <v>214</v>
      </c>
      <c r="W26" s="4" t="s">
        <v>69</v>
      </c>
      <c r="X26" s="4" t="s">
        <v>70</v>
      </c>
      <c r="Y26" s="4"/>
    </row>
    <row r="27" spans="1:25" ht="54.7">
      <c r="A27" s="4" t="s">
        <v>374</v>
      </c>
      <c r="B27" s="4" t="s">
        <v>278</v>
      </c>
      <c r="C27" s="4" t="s">
        <v>279</v>
      </c>
      <c r="D27" s="4" t="s">
        <v>375</v>
      </c>
      <c r="E27" s="4" t="s">
        <v>177</v>
      </c>
      <c r="F27" s="4" t="s">
        <v>163</v>
      </c>
      <c r="G27" s="4" t="s">
        <v>178</v>
      </c>
      <c r="H27" s="4" t="s">
        <v>376</v>
      </c>
      <c r="I27" s="4" t="s">
        <v>377</v>
      </c>
      <c r="J27" s="4" t="s">
        <v>378</v>
      </c>
      <c r="K27" s="4" t="s">
        <v>379</v>
      </c>
      <c r="L27" s="4" t="s">
        <v>11</v>
      </c>
      <c r="M27" s="4" t="s">
        <v>59</v>
      </c>
      <c r="N27" s="4" t="s">
        <v>60</v>
      </c>
      <c r="O27" s="4" t="s">
        <v>380</v>
      </c>
      <c r="P27" s="4" t="s">
        <v>381</v>
      </c>
      <c r="Q27" s="4" t="s">
        <v>311</v>
      </c>
      <c r="R27" s="4" t="s">
        <v>382</v>
      </c>
      <c r="S27" s="4" t="s">
        <v>65</v>
      </c>
      <c r="T27" s="4" t="s">
        <v>383</v>
      </c>
      <c r="U27" s="4" t="s">
        <v>238</v>
      </c>
      <c r="V27" s="4" t="s">
        <v>83</v>
      </c>
      <c r="W27" s="4" t="s">
        <v>291</v>
      </c>
      <c r="X27" s="4" t="s">
        <v>70</v>
      </c>
      <c r="Y27" s="4"/>
    </row>
    <row r="28" spans="1:25" ht="54.7">
      <c r="A28" s="4" t="s">
        <v>384</v>
      </c>
      <c r="B28" s="4" t="s">
        <v>278</v>
      </c>
      <c r="C28" s="4" t="s">
        <v>279</v>
      </c>
      <c r="D28" s="4" t="s">
        <v>385</v>
      </c>
      <c r="E28" s="4" t="s">
        <v>126</v>
      </c>
      <c r="F28" s="4" t="s">
        <v>127</v>
      </c>
      <c r="G28" s="4" t="s">
        <v>178</v>
      </c>
      <c r="H28" s="4" t="s">
        <v>386</v>
      </c>
      <c r="I28" s="4" t="s">
        <v>387</v>
      </c>
      <c r="J28" s="4" t="s">
        <v>388</v>
      </c>
      <c r="K28" s="4" t="s">
        <v>389</v>
      </c>
      <c r="L28" s="4" t="s">
        <v>8</v>
      </c>
      <c r="M28" s="4" t="s">
        <v>168</v>
      </c>
      <c r="N28" s="4" t="s">
        <v>60</v>
      </c>
      <c r="O28" s="4" t="s">
        <v>390</v>
      </c>
      <c r="P28" s="4" t="s">
        <v>273</v>
      </c>
      <c r="Q28" s="4" t="s">
        <v>286</v>
      </c>
      <c r="R28" s="4" t="s">
        <v>391</v>
      </c>
      <c r="S28" s="4" t="s">
        <v>65</v>
      </c>
      <c r="T28" s="4" t="s">
        <v>392</v>
      </c>
      <c r="U28" s="4" t="s">
        <v>393</v>
      </c>
      <c r="V28" s="4" t="s">
        <v>97</v>
      </c>
      <c r="W28" s="4" t="s">
        <v>142</v>
      </c>
      <c r="X28" s="4" t="s">
        <v>70</v>
      </c>
      <c r="Y28" s="4"/>
    </row>
    <row r="29" spans="1:25" ht="54.7">
      <c r="A29" s="4" t="s">
        <v>394</v>
      </c>
      <c r="B29" s="4" t="s">
        <v>278</v>
      </c>
      <c r="C29" s="4" t="s">
        <v>279</v>
      </c>
      <c r="D29" s="4" t="s">
        <v>395</v>
      </c>
      <c r="E29" s="4" t="s">
        <v>126</v>
      </c>
      <c r="F29" s="4" t="s">
        <v>127</v>
      </c>
      <c r="G29" s="4" t="s">
        <v>396</v>
      </c>
      <c r="H29" s="4" t="s">
        <v>397</v>
      </c>
      <c r="I29" s="4" t="s">
        <v>398</v>
      </c>
      <c r="J29" s="4" t="s">
        <v>399</v>
      </c>
      <c r="K29" s="4" t="s">
        <v>400</v>
      </c>
      <c r="L29" s="4" t="s">
        <v>8</v>
      </c>
      <c r="M29" s="4" t="s">
        <v>59</v>
      </c>
      <c r="N29" s="4" t="s">
        <v>60</v>
      </c>
      <c r="O29" s="4" t="s">
        <v>401</v>
      </c>
      <c r="P29" s="4" t="s">
        <v>402</v>
      </c>
      <c r="Q29" s="4" t="s">
        <v>403</v>
      </c>
      <c r="R29" s="4" t="s">
        <v>404</v>
      </c>
      <c r="S29" s="4" t="s">
        <v>127</v>
      </c>
      <c r="T29" s="4" t="s">
        <v>405</v>
      </c>
      <c r="U29" s="4" t="s">
        <v>406</v>
      </c>
      <c r="V29" s="4" t="s">
        <v>83</v>
      </c>
      <c r="W29" s="4" t="s">
        <v>291</v>
      </c>
      <c r="X29" s="4" t="s">
        <v>70</v>
      </c>
      <c r="Y29" s="4"/>
    </row>
    <row r="30" spans="1:25" ht="54.7">
      <c r="A30" s="4" t="s">
        <v>407</v>
      </c>
      <c r="B30" s="4" t="s">
        <v>278</v>
      </c>
      <c r="C30" s="4" t="s">
        <v>279</v>
      </c>
      <c r="D30" s="4" t="s">
        <v>408</v>
      </c>
      <c r="E30" s="4" t="s">
        <v>126</v>
      </c>
      <c r="F30" s="4" t="s">
        <v>127</v>
      </c>
      <c r="G30" s="4" t="s">
        <v>396</v>
      </c>
      <c r="H30" s="4" t="s">
        <v>409</v>
      </c>
      <c r="I30" s="4" t="s">
        <v>410</v>
      </c>
      <c r="J30" s="4" t="s">
        <v>411</v>
      </c>
      <c r="K30" s="4" t="s">
        <v>412</v>
      </c>
      <c r="L30" s="4" t="s">
        <v>8</v>
      </c>
      <c r="M30" s="4" t="s">
        <v>59</v>
      </c>
      <c r="N30" s="4" t="s">
        <v>60</v>
      </c>
      <c r="O30" s="4" t="s">
        <v>401</v>
      </c>
      <c r="P30" s="4" t="s">
        <v>402</v>
      </c>
      <c r="Q30" s="4" t="s">
        <v>403</v>
      </c>
      <c r="R30" s="4" t="s">
        <v>413</v>
      </c>
      <c r="S30" s="4" t="s">
        <v>127</v>
      </c>
      <c r="T30" s="4" t="s">
        <v>414</v>
      </c>
      <c r="U30" s="4" t="s">
        <v>395</v>
      </c>
      <c r="V30" s="4" t="s">
        <v>138</v>
      </c>
      <c r="W30" s="4" t="s">
        <v>98</v>
      </c>
      <c r="X30" s="4" t="s">
        <v>70</v>
      </c>
      <c r="Y30" s="4"/>
    </row>
    <row r="31" spans="1:25" ht="54.7">
      <c r="A31" s="4" t="s">
        <v>415</v>
      </c>
      <c r="B31" s="4" t="s">
        <v>278</v>
      </c>
      <c r="C31" s="4" t="s">
        <v>279</v>
      </c>
      <c r="D31" s="4" t="s">
        <v>416</v>
      </c>
      <c r="E31" s="4" t="s">
        <v>177</v>
      </c>
      <c r="F31" s="4" t="s">
        <v>163</v>
      </c>
      <c r="G31" s="4" t="s">
        <v>178</v>
      </c>
      <c r="H31" s="4" t="s">
        <v>417</v>
      </c>
      <c r="I31" s="4" t="s">
        <v>418</v>
      </c>
      <c r="J31" s="4" t="s">
        <v>419</v>
      </c>
      <c r="K31" s="4" t="s">
        <v>420</v>
      </c>
      <c r="L31" s="4" t="s">
        <v>11</v>
      </c>
      <c r="M31" s="4" t="s">
        <v>168</v>
      </c>
      <c r="N31" s="4" t="s">
        <v>60</v>
      </c>
      <c r="O31" s="4" t="s">
        <v>421</v>
      </c>
      <c r="P31" s="4" t="s">
        <v>422</v>
      </c>
      <c r="Q31" s="4" t="s">
        <v>286</v>
      </c>
      <c r="R31" s="4" t="s">
        <v>423</v>
      </c>
      <c r="S31" s="4" t="s">
        <v>65</v>
      </c>
      <c r="T31" s="4" t="s">
        <v>424</v>
      </c>
      <c r="U31" s="4" t="s">
        <v>425</v>
      </c>
      <c r="V31" s="4" t="s">
        <v>97</v>
      </c>
      <c r="W31" s="4" t="s">
        <v>142</v>
      </c>
      <c r="X31" s="4" t="s">
        <v>70</v>
      </c>
      <c r="Y31" s="4"/>
    </row>
    <row r="32" spans="1:25" ht="54.7">
      <c r="A32" s="4" t="s">
        <v>426</v>
      </c>
      <c r="B32" s="4" t="s">
        <v>427</v>
      </c>
      <c r="C32" s="4" t="s">
        <v>428</v>
      </c>
      <c r="D32" s="4" t="s">
        <v>429</v>
      </c>
      <c r="E32" s="4" t="s">
        <v>177</v>
      </c>
      <c r="F32" s="4" t="s">
        <v>163</v>
      </c>
      <c r="G32" s="4" t="s">
        <v>178</v>
      </c>
      <c r="H32" s="4" t="s">
        <v>430</v>
      </c>
      <c r="I32" s="4" t="s">
        <v>431</v>
      </c>
      <c r="J32" s="4" t="s">
        <v>432</v>
      </c>
      <c r="K32" s="4" t="s">
        <v>433</v>
      </c>
      <c r="L32" s="4" t="s">
        <v>8</v>
      </c>
      <c r="M32" s="4" t="s">
        <v>59</v>
      </c>
      <c r="N32" s="4" t="s">
        <v>60</v>
      </c>
      <c r="O32" s="4" t="s">
        <v>309</v>
      </c>
      <c r="P32" s="4" t="s">
        <v>434</v>
      </c>
      <c r="Q32" s="4" t="s">
        <v>311</v>
      </c>
      <c r="R32" s="4" t="s">
        <v>435</v>
      </c>
      <c r="S32" s="4" t="s">
        <v>65</v>
      </c>
      <c r="T32" s="4" t="s">
        <v>436</v>
      </c>
      <c r="U32" s="4" t="s">
        <v>238</v>
      </c>
      <c r="V32" s="4" t="s">
        <v>214</v>
      </c>
      <c r="W32" s="4" t="s">
        <v>69</v>
      </c>
      <c r="X32" s="4" t="s">
        <v>70</v>
      </c>
      <c r="Y32" s="4"/>
    </row>
    <row r="33" spans="1:25" ht="54.7">
      <c r="A33" s="4" t="s">
        <v>437</v>
      </c>
      <c r="B33" s="4" t="s">
        <v>427</v>
      </c>
      <c r="C33" s="4" t="s">
        <v>428</v>
      </c>
      <c r="D33" s="4" t="s">
        <v>438</v>
      </c>
      <c r="E33" s="4" t="s">
        <v>177</v>
      </c>
      <c r="F33" s="4" t="s">
        <v>163</v>
      </c>
      <c r="G33" s="4" t="s">
        <v>178</v>
      </c>
      <c r="H33" s="4" t="s">
        <v>439</v>
      </c>
      <c r="I33" s="4" t="s">
        <v>440</v>
      </c>
      <c r="J33" s="4" t="s">
        <v>441</v>
      </c>
      <c r="K33" s="4" t="s">
        <v>442</v>
      </c>
      <c r="L33" s="4" t="s">
        <v>8</v>
      </c>
      <c r="M33" s="4" t="s">
        <v>59</v>
      </c>
      <c r="N33" s="4" t="s">
        <v>60</v>
      </c>
      <c r="O33" s="4" t="s">
        <v>443</v>
      </c>
      <c r="P33" s="4" t="s">
        <v>444</v>
      </c>
      <c r="Q33" s="4" t="s">
        <v>445</v>
      </c>
      <c r="R33" s="4" t="s">
        <v>323</v>
      </c>
      <c r="S33" s="4" t="s">
        <v>65</v>
      </c>
      <c r="T33" s="4" t="s">
        <v>446</v>
      </c>
      <c r="U33" s="4" t="s">
        <v>310</v>
      </c>
      <c r="V33" s="4" t="s">
        <v>97</v>
      </c>
      <c r="W33" s="4" t="s">
        <v>142</v>
      </c>
      <c r="X33" s="4" t="s">
        <v>70</v>
      </c>
      <c r="Y33" s="4"/>
    </row>
    <row r="34" spans="1:25" ht="54.7">
      <c r="A34" s="4" t="s">
        <v>447</v>
      </c>
      <c r="B34" s="4" t="s">
        <v>427</v>
      </c>
      <c r="C34" s="4" t="s">
        <v>428</v>
      </c>
      <c r="D34" s="4" t="s">
        <v>448</v>
      </c>
      <c r="E34" s="4" t="s">
        <v>126</v>
      </c>
      <c r="F34" s="4" t="s">
        <v>127</v>
      </c>
      <c r="G34" s="4" t="s">
        <v>178</v>
      </c>
      <c r="H34" s="4" t="s">
        <v>449</v>
      </c>
      <c r="I34" s="4" t="s">
        <v>450</v>
      </c>
      <c r="J34" s="4" t="s">
        <v>451</v>
      </c>
      <c r="K34" s="4" t="s">
        <v>452</v>
      </c>
      <c r="L34" s="4" t="s">
        <v>8</v>
      </c>
      <c r="M34" s="4" t="s">
        <v>59</v>
      </c>
      <c r="N34" s="4" t="s">
        <v>60</v>
      </c>
      <c r="O34" s="4" t="s">
        <v>453</v>
      </c>
      <c r="P34" s="4" t="s">
        <v>444</v>
      </c>
      <c r="Q34" s="4" t="s">
        <v>454</v>
      </c>
      <c r="R34" s="4" t="s">
        <v>455</v>
      </c>
      <c r="S34" s="4" t="s">
        <v>127</v>
      </c>
      <c r="T34" s="4" t="s">
        <v>313</v>
      </c>
      <c r="U34" s="4" t="s">
        <v>456</v>
      </c>
      <c r="V34" s="4" t="s">
        <v>83</v>
      </c>
      <c r="W34" s="4" t="s">
        <v>142</v>
      </c>
      <c r="X34" s="4" t="s">
        <v>70</v>
      </c>
      <c r="Y34" s="4"/>
    </row>
    <row r="35" spans="1:25" ht="54.7">
      <c r="A35" s="4" t="s">
        <v>457</v>
      </c>
      <c r="B35" s="4" t="s">
        <v>427</v>
      </c>
      <c r="C35" s="4" t="s">
        <v>428</v>
      </c>
      <c r="D35" s="4" t="s">
        <v>458</v>
      </c>
      <c r="E35" s="4" t="s">
        <v>190</v>
      </c>
      <c r="F35" s="4" t="s">
        <v>191</v>
      </c>
      <c r="G35" s="4" t="s">
        <v>178</v>
      </c>
      <c r="H35" s="4" t="s">
        <v>459</v>
      </c>
      <c r="I35" s="4" t="s">
        <v>460</v>
      </c>
      <c r="J35" s="4" t="s">
        <v>461</v>
      </c>
      <c r="K35" s="4" t="s">
        <v>462</v>
      </c>
      <c r="L35" s="4" t="s">
        <v>11</v>
      </c>
      <c r="M35" s="4" t="s">
        <v>59</v>
      </c>
      <c r="N35" s="4" t="s">
        <v>60</v>
      </c>
      <c r="O35" s="4" t="s">
        <v>463</v>
      </c>
      <c r="P35" s="4" t="s">
        <v>434</v>
      </c>
      <c r="Q35" s="4" t="s">
        <v>464</v>
      </c>
      <c r="R35" s="4" t="s">
        <v>465</v>
      </c>
      <c r="S35" s="4" t="s">
        <v>65</v>
      </c>
      <c r="T35" s="4" t="s">
        <v>466</v>
      </c>
      <c r="U35" s="4" t="s">
        <v>467</v>
      </c>
      <c r="V35" s="4" t="s">
        <v>214</v>
      </c>
      <c r="W35" s="4" t="s">
        <v>69</v>
      </c>
      <c r="X35" s="4" t="s">
        <v>70</v>
      </c>
      <c r="Y35" s="4"/>
    </row>
    <row r="36" spans="1:25" ht="54.7">
      <c r="A36" s="4" t="s">
        <v>468</v>
      </c>
      <c r="B36" s="4" t="s">
        <v>427</v>
      </c>
      <c r="C36" s="4" t="s">
        <v>428</v>
      </c>
      <c r="D36" s="4" t="s">
        <v>469</v>
      </c>
      <c r="E36" s="4" t="s">
        <v>126</v>
      </c>
      <c r="F36" s="4" t="s">
        <v>127</v>
      </c>
      <c r="G36" s="4" t="s">
        <v>178</v>
      </c>
      <c r="H36" s="4" t="s">
        <v>470</v>
      </c>
      <c r="I36" s="4" t="s">
        <v>471</v>
      </c>
      <c r="J36" s="4" t="s">
        <v>472</v>
      </c>
      <c r="K36" s="4" t="s">
        <v>473</v>
      </c>
      <c r="L36" s="4" t="s">
        <v>8</v>
      </c>
      <c r="M36" s="4" t="s">
        <v>59</v>
      </c>
      <c r="N36" s="4" t="s">
        <v>60</v>
      </c>
      <c r="O36" s="4" t="s">
        <v>474</v>
      </c>
      <c r="P36" s="4" t="s">
        <v>444</v>
      </c>
      <c r="Q36" s="4" t="s">
        <v>475</v>
      </c>
      <c r="R36" s="4" t="s">
        <v>455</v>
      </c>
      <c r="S36" s="4" t="s">
        <v>127</v>
      </c>
      <c r="T36" s="4" t="s">
        <v>313</v>
      </c>
      <c r="U36" s="4" t="s">
        <v>476</v>
      </c>
      <c r="V36" s="4" t="s">
        <v>214</v>
      </c>
      <c r="W36" s="4" t="s">
        <v>142</v>
      </c>
      <c r="X36" s="4" t="s">
        <v>70</v>
      </c>
      <c r="Y36" s="4"/>
    </row>
    <row r="37" spans="1:25" ht="54.7">
      <c r="A37" s="4" t="s">
        <v>477</v>
      </c>
      <c r="B37" s="4" t="s">
        <v>427</v>
      </c>
      <c r="C37" s="4" t="s">
        <v>428</v>
      </c>
      <c r="D37" s="4" t="s">
        <v>478</v>
      </c>
      <c r="E37" s="4" t="s">
        <v>479</v>
      </c>
      <c r="F37" s="4" t="s">
        <v>142</v>
      </c>
      <c r="G37" s="4" t="s">
        <v>178</v>
      </c>
      <c r="H37" s="4" t="s">
        <v>480</v>
      </c>
      <c r="I37" s="4" t="s">
        <v>481</v>
      </c>
      <c r="J37" s="4" t="s">
        <v>482</v>
      </c>
      <c r="K37" s="4" t="s">
        <v>483</v>
      </c>
      <c r="L37" s="4" t="s">
        <v>8</v>
      </c>
      <c r="M37" s="4" t="s">
        <v>59</v>
      </c>
      <c r="N37" s="4" t="s">
        <v>60</v>
      </c>
      <c r="O37" s="4" t="s">
        <v>484</v>
      </c>
      <c r="P37" s="4" t="s">
        <v>485</v>
      </c>
      <c r="Q37" s="4" t="s">
        <v>486</v>
      </c>
      <c r="R37" s="4" t="s">
        <v>487</v>
      </c>
      <c r="S37" s="4" t="s">
        <v>488</v>
      </c>
      <c r="T37" s="4" t="s">
        <v>436</v>
      </c>
      <c r="U37" s="4" t="s">
        <v>489</v>
      </c>
      <c r="V37" s="4" t="s">
        <v>97</v>
      </c>
      <c r="W37" s="4" t="s">
        <v>142</v>
      </c>
      <c r="X37" s="4" t="s">
        <v>70</v>
      </c>
      <c r="Y37" s="4"/>
    </row>
    <row r="38" spans="1:25" ht="54.7">
      <c r="A38" s="4" t="s">
        <v>490</v>
      </c>
      <c r="B38" s="4" t="s">
        <v>427</v>
      </c>
      <c r="C38" s="4" t="s">
        <v>428</v>
      </c>
      <c r="D38" s="4" t="s">
        <v>491</v>
      </c>
      <c r="E38" s="4" t="s">
        <v>141</v>
      </c>
      <c r="F38" s="4" t="s">
        <v>142</v>
      </c>
      <c r="G38" s="4" t="s">
        <v>178</v>
      </c>
      <c r="H38" s="4" t="s">
        <v>492</v>
      </c>
      <c r="I38" s="4" t="s">
        <v>493</v>
      </c>
      <c r="J38" s="4" t="s">
        <v>494</v>
      </c>
      <c r="K38" s="4" t="s">
        <v>495</v>
      </c>
      <c r="L38" s="4" t="s">
        <v>11</v>
      </c>
      <c r="M38" s="4" t="s">
        <v>168</v>
      </c>
      <c r="N38" s="4" t="s">
        <v>60</v>
      </c>
      <c r="O38" s="4" t="s">
        <v>484</v>
      </c>
      <c r="P38" s="4" t="s">
        <v>496</v>
      </c>
      <c r="Q38" s="4" t="s">
        <v>486</v>
      </c>
      <c r="R38" s="4" t="s">
        <v>497</v>
      </c>
      <c r="S38" s="4" t="s">
        <v>65</v>
      </c>
      <c r="T38" s="4" t="s">
        <v>498</v>
      </c>
      <c r="U38" s="4" t="s">
        <v>499</v>
      </c>
      <c r="V38" s="4" t="s">
        <v>97</v>
      </c>
      <c r="W38" s="4" t="s">
        <v>142</v>
      </c>
      <c r="X38" s="4" t="s">
        <v>70</v>
      </c>
      <c r="Y38" s="4"/>
    </row>
    <row r="39" spans="1:25" ht="54.7">
      <c r="A39" s="4" t="s">
        <v>500</v>
      </c>
      <c r="B39" s="4" t="s">
        <v>427</v>
      </c>
      <c r="C39" s="4" t="s">
        <v>428</v>
      </c>
      <c r="D39" s="4" t="s">
        <v>501</v>
      </c>
      <c r="E39" s="4" t="s">
        <v>177</v>
      </c>
      <c r="F39" s="4" t="s">
        <v>163</v>
      </c>
      <c r="G39" s="4" t="s">
        <v>178</v>
      </c>
      <c r="H39" s="4" t="s">
        <v>502</v>
      </c>
      <c r="I39" s="4" t="s">
        <v>503</v>
      </c>
      <c r="J39" s="4" t="s">
        <v>504</v>
      </c>
      <c r="K39" s="4" t="s">
        <v>505</v>
      </c>
      <c r="L39" s="4" t="s">
        <v>8</v>
      </c>
      <c r="M39" s="4" t="s">
        <v>59</v>
      </c>
      <c r="N39" s="4" t="s">
        <v>60</v>
      </c>
      <c r="O39" s="4" t="s">
        <v>506</v>
      </c>
      <c r="P39" s="4" t="s">
        <v>507</v>
      </c>
      <c r="Q39" s="4" t="s">
        <v>63</v>
      </c>
      <c r="R39" s="4" t="s">
        <v>508</v>
      </c>
      <c r="S39" s="4" t="s">
        <v>65</v>
      </c>
      <c r="T39" s="4" t="s">
        <v>509</v>
      </c>
      <c r="U39" s="4" t="s">
        <v>322</v>
      </c>
      <c r="V39" s="4" t="s">
        <v>97</v>
      </c>
      <c r="W39" s="4" t="s">
        <v>69</v>
      </c>
      <c r="X39" s="4" t="s">
        <v>70</v>
      </c>
      <c r="Y39" s="4"/>
    </row>
    <row r="40" spans="1:25" ht="54.7">
      <c r="A40" s="4" t="s">
        <v>510</v>
      </c>
      <c r="B40" s="4" t="s">
        <v>427</v>
      </c>
      <c r="C40" s="4" t="s">
        <v>428</v>
      </c>
      <c r="D40" s="4" t="s">
        <v>511</v>
      </c>
      <c r="E40" s="4" t="s">
        <v>126</v>
      </c>
      <c r="F40" s="4" t="s">
        <v>127</v>
      </c>
      <c r="G40" s="4" t="s">
        <v>178</v>
      </c>
      <c r="H40" s="4" t="s">
        <v>512</v>
      </c>
      <c r="I40" s="4" t="s">
        <v>513</v>
      </c>
      <c r="J40" s="4" t="s">
        <v>514</v>
      </c>
      <c r="K40" s="4" t="s">
        <v>515</v>
      </c>
      <c r="L40" s="4" t="s">
        <v>8</v>
      </c>
      <c r="M40" s="4" t="s">
        <v>59</v>
      </c>
      <c r="N40" s="4" t="s">
        <v>60</v>
      </c>
      <c r="O40" s="4" t="s">
        <v>516</v>
      </c>
      <c r="P40" s="4" t="s">
        <v>517</v>
      </c>
      <c r="Q40" s="4" t="s">
        <v>486</v>
      </c>
      <c r="R40" s="4" t="s">
        <v>518</v>
      </c>
      <c r="S40" s="4" t="s">
        <v>127</v>
      </c>
      <c r="T40" s="4" t="s">
        <v>519</v>
      </c>
      <c r="U40" s="4" t="s">
        <v>520</v>
      </c>
      <c r="V40" s="4" t="s">
        <v>214</v>
      </c>
      <c r="W40" s="4" t="s">
        <v>291</v>
      </c>
      <c r="X40" s="4" t="s">
        <v>70</v>
      </c>
      <c r="Y40" s="4"/>
    </row>
    <row r="41" spans="1:25" ht="54.7">
      <c r="A41" s="4" t="s">
        <v>521</v>
      </c>
      <c r="B41" s="4" t="s">
        <v>427</v>
      </c>
      <c r="C41" s="4" t="s">
        <v>428</v>
      </c>
      <c r="D41" s="4" t="s">
        <v>522</v>
      </c>
      <c r="E41" s="4" t="s">
        <v>479</v>
      </c>
      <c r="F41" s="4" t="s">
        <v>142</v>
      </c>
      <c r="G41" s="4" t="s">
        <v>178</v>
      </c>
      <c r="H41" s="4" t="s">
        <v>523</v>
      </c>
      <c r="I41" s="4" t="s">
        <v>524</v>
      </c>
      <c r="J41" s="4" t="s">
        <v>525</v>
      </c>
      <c r="K41" s="4" t="s">
        <v>526</v>
      </c>
      <c r="L41" s="4" t="s">
        <v>11</v>
      </c>
      <c r="M41" s="4" t="s">
        <v>168</v>
      </c>
      <c r="N41" s="4" t="s">
        <v>60</v>
      </c>
      <c r="O41" s="4" t="s">
        <v>527</v>
      </c>
      <c r="P41" s="4" t="s">
        <v>528</v>
      </c>
      <c r="Q41" s="4" t="s">
        <v>486</v>
      </c>
      <c r="R41" s="4" t="s">
        <v>529</v>
      </c>
      <c r="S41" s="4" t="s">
        <v>127</v>
      </c>
      <c r="T41" s="4" t="s">
        <v>530</v>
      </c>
      <c r="U41" s="4" t="s">
        <v>531</v>
      </c>
      <c r="V41" s="4" t="s">
        <v>214</v>
      </c>
      <c r="W41" s="4" t="s">
        <v>142</v>
      </c>
      <c r="X41" s="4" t="s">
        <v>70</v>
      </c>
      <c r="Y41" s="4"/>
    </row>
    <row r="42" spans="1:25" ht="54.7">
      <c r="A42" s="4" t="s">
        <v>532</v>
      </c>
      <c r="B42" s="4" t="s">
        <v>427</v>
      </c>
      <c r="C42" s="4" t="s">
        <v>428</v>
      </c>
      <c r="D42" s="4" t="s">
        <v>533</v>
      </c>
      <c r="E42" s="4" t="s">
        <v>177</v>
      </c>
      <c r="F42" s="4" t="s">
        <v>163</v>
      </c>
      <c r="G42" s="4" t="s">
        <v>178</v>
      </c>
      <c r="H42" s="4" t="s">
        <v>534</v>
      </c>
      <c r="I42" s="4" t="s">
        <v>535</v>
      </c>
      <c r="J42" s="4" t="s">
        <v>536</v>
      </c>
      <c r="K42" s="4" t="s">
        <v>537</v>
      </c>
      <c r="L42" s="4" t="s">
        <v>11</v>
      </c>
      <c r="M42" s="4" t="s">
        <v>59</v>
      </c>
      <c r="N42" s="4" t="s">
        <v>60</v>
      </c>
      <c r="O42" s="4" t="s">
        <v>538</v>
      </c>
      <c r="P42" s="4" t="s">
        <v>539</v>
      </c>
      <c r="Q42" s="4" t="s">
        <v>540</v>
      </c>
      <c r="R42" s="4" t="s">
        <v>541</v>
      </c>
      <c r="S42" s="4" t="s">
        <v>65</v>
      </c>
      <c r="T42" s="4" t="s">
        <v>542</v>
      </c>
      <c r="U42" s="4" t="s">
        <v>543</v>
      </c>
      <c r="V42" s="4" t="s">
        <v>97</v>
      </c>
      <c r="W42" s="4" t="s">
        <v>174</v>
      </c>
      <c r="X42" s="4" t="s">
        <v>70</v>
      </c>
      <c r="Y42" s="4"/>
    </row>
    <row r="43" spans="1:25" ht="41">
      <c r="A43" s="4" t="s">
        <v>544</v>
      </c>
      <c r="B43" s="4" t="s">
        <v>427</v>
      </c>
      <c r="C43" s="4" t="s">
        <v>428</v>
      </c>
      <c r="D43" s="4" t="s">
        <v>545</v>
      </c>
      <c r="E43" s="4" t="s">
        <v>479</v>
      </c>
      <c r="F43" s="4" t="s">
        <v>142</v>
      </c>
      <c r="G43" s="4" t="s">
        <v>178</v>
      </c>
      <c r="H43" s="4" t="s">
        <v>546</v>
      </c>
      <c r="I43" s="4" t="s">
        <v>547</v>
      </c>
      <c r="J43" s="4" t="s">
        <v>548</v>
      </c>
      <c r="K43" s="4" t="s">
        <v>549</v>
      </c>
      <c r="L43" s="4" t="s">
        <v>11</v>
      </c>
      <c r="M43" s="4" t="s">
        <v>168</v>
      </c>
      <c r="N43" s="4" t="s">
        <v>60</v>
      </c>
      <c r="O43" s="4" t="s">
        <v>484</v>
      </c>
      <c r="P43" s="4" t="s">
        <v>550</v>
      </c>
      <c r="Q43" s="4" t="s">
        <v>486</v>
      </c>
      <c r="R43" s="4" t="s">
        <v>551</v>
      </c>
      <c r="S43" s="4" t="s">
        <v>65</v>
      </c>
      <c r="T43" s="4" t="s">
        <v>552</v>
      </c>
      <c r="U43" s="4" t="s">
        <v>553</v>
      </c>
      <c r="V43" s="4" t="s">
        <v>97</v>
      </c>
      <c r="W43" s="4" t="s">
        <v>174</v>
      </c>
      <c r="X43" s="4" t="s">
        <v>70</v>
      </c>
      <c r="Y43" s="4"/>
    </row>
    <row r="44" spans="1:25" ht="54.7">
      <c r="A44" s="4" t="s">
        <v>554</v>
      </c>
      <c r="B44" s="4" t="s">
        <v>427</v>
      </c>
      <c r="C44" s="4" t="s">
        <v>428</v>
      </c>
      <c r="D44" s="4" t="s">
        <v>555</v>
      </c>
      <c r="E44" s="4" t="s">
        <v>556</v>
      </c>
      <c r="F44" s="4" t="s">
        <v>127</v>
      </c>
      <c r="G44" s="4" t="s">
        <v>178</v>
      </c>
      <c r="H44" s="4" t="s">
        <v>557</v>
      </c>
      <c r="I44" s="4" t="s">
        <v>558</v>
      </c>
      <c r="J44" s="4" t="s">
        <v>559</v>
      </c>
      <c r="K44" s="4" t="s">
        <v>560</v>
      </c>
      <c r="L44" s="4" t="s">
        <v>8</v>
      </c>
      <c r="M44" s="4" t="s">
        <v>59</v>
      </c>
      <c r="N44" s="4" t="s">
        <v>60</v>
      </c>
      <c r="O44" s="4" t="s">
        <v>561</v>
      </c>
      <c r="P44" s="4" t="s">
        <v>562</v>
      </c>
      <c r="Q44" s="4" t="s">
        <v>486</v>
      </c>
      <c r="R44" s="4" t="s">
        <v>563</v>
      </c>
      <c r="S44" s="4" t="s">
        <v>127</v>
      </c>
      <c r="T44" s="4" t="s">
        <v>564</v>
      </c>
      <c r="U44" s="4" t="s">
        <v>520</v>
      </c>
      <c r="V44" s="4" t="s">
        <v>214</v>
      </c>
      <c r="W44" s="4" t="s">
        <v>142</v>
      </c>
      <c r="X44" s="4" t="s">
        <v>70</v>
      </c>
      <c r="Y44" s="4"/>
    </row>
    <row r="45" spans="1:25" ht="54.7">
      <c r="A45" s="4" t="s">
        <v>565</v>
      </c>
      <c r="B45" s="4" t="s">
        <v>566</v>
      </c>
      <c r="C45" s="4" t="s">
        <v>567</v>
      </c>
      <c r="D45" s="4" t="s">
        <v>568</v>
      </c>
      <c r="E45" s="4" t="s">
        <v>177</v>
      </c>
      <c r="F45" s="4" t="s">
        <v>163</v>
      </c>
      <c r="G45" s="4" t="s">
        <v>178</v>
      </c>
      <c r="H45" s="4" t="s">
        <v>569</v>
      </c>
      <c r="I45" s="4" t="s">
        <v>570</v>
      </c>
      <c r="J45" s="4" t="s">
        <v>571</v>
      </c>
      <c r="K45" s="4" t="s">
        <v>572</v>
      </c>
      <c r="L45" s="4" t="s">
        <v>8</v>
      </c>
      <c r="M45" s="4" t="s">
        <v>59</v>
      </c>
      <c r="N45" s="4" t="s">
        <v>60</v>
      </c>
      <c r="O45" s="4" t="s">
        <v>573</v>
      </c>
      <c r="P45" s="4" t="s">
        <v>574</v>
      </c>
      <c r="Q45" s="4" t="s">
        <v>108</v>
      </c>
      <c r="R45" s="4" t="s">
        <v>575</v>
      </c>
      <c r="S45" s="4" t="s">
        <v>65</v>
      </c>
      <c r="T45" s="4" t="s">
        <v>576</v>
      </c>
      <c r="U45" s="4" t="s">
        <v>577</v>
      </c>
      <c r="V45" s="4" t="s">
        <v>214</v>
      </c>
      <c r="W45" s="4" t="s">
        <v>69</v>
      </c>
      <c r="X45" s="4" t="s">
        <v>70</v>
      </c>
      <c r="Y45" s="4"/>
    </row>
    <row r="46" spans="1:25" ht="54.7">
      <c r="A46" s="4" t="s">
        <v>578</v>
      </c>
      <c r="B46" s="4" t="s">
        <v>566</v>
      </c>
      <c r="C46" s="4" t="s">
        <v>567</v>
      </c>
      <c r="D46" s="4" t="s">
        <v>579</v>
      </c>
      <c r="E46" s="4" t="s">
        <v>177</v>
      </c>
      <c r="F46" s="4" t="s">
        <v>163</v>
      </c>
      <c r="G46" s="4" t="s">
        <v>178</v>
      </c>
      <c r="H46" s="4" t="s">
        <v>580</v>
      </c>
      <c r="I46" s="4" t="s">
        <v>581</v>
      </c>
      <c r="J46" s="4" t="s">
        <v>582</v>
      </c>
      <c r="K46" s="4" t="s">
        <v>583</v>
      </c>
      <c r="L46" s="4" t="s">
        <v>8</v>
      </c>
      <c r="M46" s="4" t="s">
        <v>59</v>
      </c>
      <c r="N46" s="4" t="s">
        <v>60</v>
      </c>
      <c r="O46" s="4" t="s">
        <v>101</v>
      </c>
      <c r="P46" s="4" t="s">
        <v>584</v>
      </c>
      <c r="Q46" s="4" t="s">
        <v>108</v>
      </c>
      <c r="R46" s="4" t="s">
        <v>585</v>
      </c>
      <c r="S46" s="4" t="s">
        <v>65</v>
      </c>
      <c r="T46" s="4" t="s">
        <v>436</v>
      </c>
      <c r="U46" s="4" t="s">
        <v>586</v>
      </c>
      <c r="V46" s="4" t="s">
        <v>214</v>
      </c>
      <c r="W46" s="4" t="s">
        <v>69</v>
      </c>
      <c r="X46" s="4" t="s">
        <v>70</v>
      </c>
      <c r="Y46" s="4"/>
    </row>
    <row r="47" spans="1:25" ht="54.7">
      <c r="A47" s="4" t="s">
        <v>587</v>
      </c>
      <c r="B47" s="4" t="s">
        <v>566</v>
      </c>
      <c r="C47" s="4" t="s">
        <v>567</v>
      </c>
      <c r="D47" s="4" t="s">
        <v>588</v>
      </c>
      <c r="E47" s="4" t="s">
        <v>177</v>
      </c>
      <c r="F47" s="4" t="s">
        <v>163</v>
      </c>
      <c r="G47" s="4" t="s">
        <v>178</v>
      </c>
      <c r="H47" s="4" t="s">
        <v>589</v>
      </c>
      <c r="I47" s="4" t="s">
        <v>590</v>
      </c>
      <c r="J47" s="4" t="s">
        <v>591</v>
      </c>
      <c r="K47" s="4" t="s">
        <v>592</v>
      </c>
      <c r="L47" s="4" t="s">
        <v>8</v>
      </c>
      <c r="M47" s="4" t="s">
        <v>59</v>
      </c>
      <c r="N47" s="4" t="s">
        <v>60</v>
      </c>
      <c r="O47" s="4" t="s">
        <v>593</v>
      </c>
      <c r="P47" s="4" t="s">
        <v>594</v>
      </c>
      <c r="Q47" s="4" t="s">
        <v>595</v>
      </c>
      <c r="R47" s="4" t="s">
        <v>596</v>
      </c>
      <c r="S47" s="4" t="s">
        <v>65</v>
      </c>
      <c r="T47" s="4" t="s">
        <v>212</v>
      </c>
      <c r="U47" s="4" t="s">
        <v>597</v>
      </c>
      <c r="V47" s="4" t="s">
        <v>214</v>
      </c>
      <c r="W47" s="4" t="s">
        <v>69</v>
      </c>
      <c r="X47" s="4" t="s">
        <v>70</v>
      </c>
      <c r="Y47" s="4"/>
    </row>
    <row r="48" spans="1:25" ht="54.7">
      <c r="A48" s="4" t="s">
        <v>598</v>
      </c>
      <c r="B48" s="4" t="s">
        <v>566</v>
      </c>
      <c r="C48" s="4" t="s">
        <v>567</v>
      </c>
      <c r="D48" s="4" t="s">
        <v>599</v>
      </c>
      <c r="E48" s="4" t="s">
        <v>177</v>
      </c>
      <c r="F48" s="4" t="s">
        <v>163</v>
      </c>
      <c r="G48" s="4" t="s">
        <v>178</v>
      </c>
      <c r="H48" s="4" t="s">
        <v>600</v>
      </c>
      <c r="I48" s="4" t="s">
        <v>601</v>
      </c>
      <c r="J48" s="4" t="s">
        <v>602</v>
      </c>
      <c r="K48" s="4" t="s">
        <v>603</v>
      </c>
      <c r="L48" s="4" t="s">
        <v>8</v>
      </c>
      <c r="M48" s="4" t="s">
        <v>59</v>
      </c>
      <c r="N48" s="4" t="s">
        <v>60</v>
      </c>
      <c r="O48" s="4" t="s">
        <v>604</v>
      </c>
      <c r="P48" s="4" t="s">
        <v>594</v>
      </c>
      <c r="Q48" s="4" t="s">
        <v>595</v>
      </c>
      <c r="R48" s="4" t="s">
        <v>605</v>
      </c>
      <c r="S48" s="4" t="s">
        <v>65</v>
      </c>
      <c r="T48" s="4" t="s">
        <v>212</v>
      </c>
      <c r="U48" s="4" t="s">
        <v>588</v>
      </c>
      <c r="V48" s="4" t="s">
        <v>214</v>
      </c>
      <c r="W48" s="4" t="s">
        <v>142</v>
      </c>
      <c r="X48" s="4" t="s">
        <v>70</v>
      </c>
      <c r="Y48" s="4"/>
    </row>
    <row r="49" spans="1:25" ht="54.7">
      <c r="A49" s="4" t="s">
        <v>606</v>
      </c>
      <c r="B49" s="4" t="s">
        <v>566</v>
      </c>
      <c r="C49" s="4" t="s">
        <v>567</v>
      </c>
      <c r="D49" s="4" t="s">
        <v>607</v>
      </c>
      <c r="E49" s="4" t="s">
        <v>177</v>
      </c>
      <c r="F49" s="4" t="s">
        <v>163</v>
      </c>
      <c r="G49" s="4" t="s">
        <v>178</v>
      </c>
      <c r="H49" s="4" t="s">
        <v>608</v>
      </c>
      <c r="I49" s="4" t="s">
        <v>609</v>
      </c>
      <c r="J49" s="4" t="s">
        <v>610</v>
      </c>
      <c r="K49" s="4" t="s">
        <v>611</v>
      </c>
      <c r="L49" s="4" t="s">
        <v>8</v>
      </c>
      <c r="M49" s="4" t="s">
        <v>59</v>
      </c>
      <c r="N49" s="4" t="s">
        <v>60</v>
      </c>
      <c r="O49" s="4" t="s">
        <v>604</v>
      </c>
      <c r="P49" s="4" t="s">
        <v>594</v>
      </c>
      <c r="Q49" s="4" t="s">
        <v>612</v>
      </c>
      <c r="R49" s="4" t="s">
        <v>613</v>
      </c>
      <c r="S49" s="4" t="s">
        <v>65</v>
      </c>
      <c r="T49" s="4" t="s">
        <v>614</v>
      </c>
      <c r="U49" s="4" t="s">
        <v>588</v>
      </c>
      <c r="V49" s="4" t="s">
        <v>214</v>
      </c>
      <c r="W49" s="4" t="s">
        <v>69</v>
      </c>
      <c r="X49" s="4" t="s">
        <v>70</v>
      </c>
      <c r="Y49" s="4"/>
    </row>
    <row r="50" spans="1:25" ht="41">
      <c r="A50" s="4" t="s">
        <v>615</v>
      </c>
      <c r="B50" s="4" t="s">
        <v>566</v>
      </c>
      <c r="C50" s="4" t="s">
        <v>567</v>
      </c>
      <c r="D50" s="4" t="s">
        <v>82</v>
      </c>
      <c r="E50" s="4" t="s">
        <v>190</v>
      </c>
      <c r="F50" s="4" t="s">
        <v>191</v>
      </c>
      <c r="G50" s="4" t="s">
        <v>178</v>
      </c>
      <c r="H50" s="4" t="s">
        <v>616</v>
      </c>
      <c r="I50" s="4" t="s">
        <v>617</v>
      </c>
      <c r="J50" s="4" t="s">
        <v>618</v>
      </c>
      <c r="K50" s="4" t="s">
        <v>619</v>
      </c>
      <c r="L50" s="4" t="s">
        <v>8</v>
      </c>
      <c r="M50" s="4" t="s">
        <v>59</v>
      </c>
      <c r="N50" s="4" t="s">
        <v>60</v>
      </c>
      <c r="O50" s="4" t="s">
        <v>196</v>
      </c>
      <c r="P50" s="4" t="s">
        <v>620</v>
      </c>
      <c r="Q50" s="4" t="s">
        <v>80</v>
      </c>
      <c r="R50" s="4" t="s">
        <v>189</v>
      </c>
      <c r="S50" s="4" t="s">
        <v>65</v>
      </c>
      <c r="T50" s="4" t="s">
        <v>199</v>
      </c>
      <c r="U50" s="4" t="s">
        <v>621</v>
      </c>
      <c r="V50" s="4" t="s">
        <v>214</v>
      </c>
      <c r="W50" s="4" t="s">
        <v>69</v>
      </c>
      <c r="X50" s="4" t="s">
        <v>70</v>
      </c>
      <c r="Y50" s="4"/>
    </row>
    <row r="51" spans="1:25" ht="54.7">
      <c r="A51" s="4" t="s">
        <v>622</v>
      </c>
      <c r="B51" s="4" t="s">
        <v>566</v>
      </c>
      <c r="C51" s="4" t="s">
        <v>567</v>
      </c>
      <c r="D51" s="4" t="s">
        <v>623</v>
      </c>
      <c r="E51" s="4" t="s">
        <v>177</v>
      </c>
      <c r="F51" s="4" t="s">
        <v>163</v>
      </c>
      <c r="G51" s="4" t="s">
        <v>178</v>
      </c>
      <c r="H51" s="4" t="s">
        <v>624</v>
      </c>
      <c r="I51" s="4" t="s">
        <v>625</v>
      </c>
      <c r="J51" s="4" t="s">
        <v>626</v>
      </c>
      <c r="K51" s="4" t="s">
        <v>627</v>
      </c>
      <c r="L51" s="4" t="s">
        <v>11</v>
      </c>
      <c r="M51" s="4" t="s">
        <v>168</v>
      </c>
      <c r="N51" s="4" t="s">
        <v>60</v>
      </c>
      <c r="O51" s="4" t="s">
        <v>628</v>
      </c>
      <c r="P51" s="4" t="s">
        <v>629</v>
      </c>
      <c r="Q51" s="4" t="s">
        <v>63</v>
      </c>
      <c r="R51" s="4" t="s">
        <v>630</v>
      </c>
      <c r="S51" s="4" t="s">
        <v>65</v>
      </c>
      <c r="T51" s="4" t="s">
        <v>631</v>
      </c>
      <c r="U51" s="4" t="s">
        <v>632</v>
      </c>
      <c r="V51" s="4" t="s">
        <v>97</v>
      </c>
      <c r="W51" s="4" t="s">
        <v>142</v>
      </c>
      <c r="X51" s="4" t="s">
        <v>70</v>
      </c>
      <c r="Y51" s="4"/>
    </row>
    <row r="52" spans="1:25" ht="54.7">
      <c r="A52" s="4" t="s">
        <v>633</v>
      </c>
      <c r="B52" s="4" t="s">
        <v>566</v>
      </c>
      <c r="C52" s="4" t="s">
        <v>567</v>
      </c>
      <c r="D52" s="4" t="s">
        <v>634</v>
      </c>
      <c r="E52" s="4" t="s">
        <v>177</v>
      </c>
      <c r="F52" s="4" t="s">
        <v>163</v>
      </c>
      <c r="G52" s="4" t="s">
        <v>178</v>
      </c>
      <c r="H52" s="4" t="s">
        <v>635</v>
      </c>
      <c r="I52" s="4" t="s">
        <v>636</v>
      </c>
      <c r="J52" s="4" t="s">
        <v>637</v>
      </c>
      <c r="K52" s="4" t="s">
        <v>638</v>
      </c>
      <c r="L52" s="4" t="s">
        <v>8</v>
      </c>
      <c r="M52" s="4" t="s">
        <v>59</v>
      </c>
      <c r="N52" s="4" t="s">
        <v>60</v>
      </c>
      <c r="O52" s="4" t="s">
        <v>573</v>
      </c>
      <c r="P52" s="4" t="s">
        <v>273</v>
      </c>
      <c r="Q52" s="4" t="s">
        <v>639</v>
      </c>
      <c r="R52" s="4" t="s">
        <v>640</v>
      </c>
      <c r="S52" s="4" t="s">
        <v>65</v>
      </c>
      <c r="T52" s="4" t="s">
        <v>641</v>
      </c>
      <c r="U52" s="4" t="s">
        <v>642</v>
      </c>
      <c r="V52" s="4" t="s">
        <v>97</v>
      </c>
      <c r="W52" s="4" t="s">
        <v>69</v>
      </c>
      <c r="X52" s="4" t="s">
        <v>70</v>
      </c>
      <c r="Y52" s="4"/>
    </row>
    <row r="53" spans="1:25" ht="54.7">
      <c r="A53" s="4" t="s">
        <v>643</v>
      </c>
      <c r="B53" s="4" t="s">
        <v>566</v>
      </c>
      <c r="C53" s="4" t="s">
        <v>567</v>
      </c>
      <c r="D53" s="4" t="s">
        <v>644</v>
      </c>
      <c r="E53" s="4" t="s">
        <v>73</v>
      </c>
      <c r="F53" s="4" t="s">
        <v>74</v>
      </c>
      <c r="G53" s="4" t="s">
        <v>54</v>
      </c>
      <c r="H53" s="4" t="s">
        <v>645</v>
      </c>
      <c r="I53" s="4" t="s">
        <v>646</v>
      </c>
      <c r="J53" s="4" t="s">
        <v>647</v>
      </c>
      <c r="K53" s="4" t="s">
        <v>648</v>
      </c>
      <c r="L53" s="4" t="s">
        <v>8</v>
      </c>
      <c r="M53" s="4" t="s">
        <v>59</v>
      </c>
      <c r="N53" s="4" t="s">
        <v>60</v>
      </c>
      <c r="O53" s="4" t="s">
        <v>649</v>
      </c>
      <c r="P53" s="4" t="s">
        <v>650</v>
      </c>
      <c r="Q53" s="4" t="s">
        <v>651</v>
      </c>
      <c r="R53" s="4" t="s">
        <v>652</v>
      </c>
      <c r="S53" s="4" t="s">
        <v>65</v>
      </c>
      <c r="T53" s="4" t="s">
        <v>653</v>
      </c>
      <c r="U53" s="4" t="s">
        <v>654</v>
      </c>
      <c r="V53" s="4" t="s">
        <v>655</v>
      </c>
      <c r="W53" s="4" t="s">
        <v>349</v>
      </c>
      <c r="X53" s="4" t="s">
        <v>70</v>
      </c>
      <c r="Y53" s="4"/>
    </row>
    <row r="54" spans="1:25" ht="54.7">
      <c r="A54" s="4" t="s">
        <v>656</v>
      </c>
      <c r="B54" s="4" t="s">
        <v>566</v>
      </c>
      <c r="C54" s="4" t="s">
        <v>567</v>
      </c>
      <c r="D54" s="4" t="s">
        <v>657</v>
      </c>
      <c r="E54" s="4" t="s">
        <v>177</v>
      </c>
      <c r="F54" s="4" t="s">
        <v>163</v>
      </c>
      <c r="G54" s="4" t="s">
        <v>178</v>
      </c>
      <c r="H54" s="4" t="s">
        <v>658</v>
      </c>
      <c r="I54" s="4" t="s">
        <v>659</v>
      </c>
      <c r="J54" s="4" t="s">
        <v>660</v>
      </c>
      <c r="K54" s="4" t="s">
        <v>661</v>
      </c>
      <c r="L54" s="4" t="s">
        <v>14</v>
      </c>
      <c r="M54" s="4" t="s">
        <v>168</v>
      </c>
      <c r="N54" s="4" t="s">
        <v>169</v>
      </c>
      <c r="O54" s="4" t="s">
        <v>506</v>
      </c>
      <c r="P54" s="4" t="s">
        <v>662</v>
      </c>
      <c r="Q54" s="4" t="s">
        <v>63</v>
      </c>
      <c r="R54" s="4" t="s">
        <v>663</v>
      </c>
      <c r="S54" s="4" t="s">
        <v>65</v>
      </c>
      <c r="T54" s="4" t="s">
        <v>664</v>
      </c>
      <c r="U54" s="4" t="s">
        <v>665</v>
      </c>
      <c r="V54" s="4" t="s">
        <v>97</v>
      </c>
      <c r="W54" s="4" t="s">
        <v>142</v>
      </c>
      <c r="X54" s="4" t="s">
        <v>70</v>
      </c>
      <c r="Y54" s="4"/>
    </row>
    <row r="55" spans="1:25" ht="54.7">
      <c r="A55" s="4" t="s">
        <v>666</v>
      </c>
      <c r="B55" s="4" t="s">
        <v>566</v>
      </c>
      <c r="C55" s="4" t="s">
        <v>567</v>
      </c>
      <c r="D55" s="4" t="s">
        <v>667</v>
      </c>
      <c r="E55" s="4" t="s">
        <v>190</v>
      </c>
      <c r="F55" s="4" t="s">
        <v>191</v>
      </c>
      <c r="G55" s="4" t="s">
        <v>668</v>
      </c>
      <c r="H55" s="4" t="s">
        <v>669</v>
      </c>
      <c r="I55" s="4" t="s">
        <v>670</v>
      </c>
      <c r="J55" s="4" t="s">
        <v>671</v>
      </c>
      <c r="K55" s="4" t="s">
        <v>672</v>
      </c>
      <c r="L55" s="4" t="s">
        <v>8</v>
      </c>
      <c r="M55" s="4" t="s">
        <v>59</v>
      </c>
      <c r="N55" s="4" t="s">
        <v>60</v>
      </c>
      <c r="O55" s="4" t="s">
        <v>628</v>
      </c>
      <c r="P55" s="4" t="s">
        <v>673</v>
      </c>
      <c r="Q55" s="4" t="s">
        <v>63</v>
      </c>
      <c r="R55" s="4" t="s">
        <v>674</v>
      </c>
      <c r="S55" s="4" t="s">
        <v>65</v>
      </c>
      <c r="T55" s="4" t="s">
        <v>675</v>
      </c>
      <c r="U55" s="4" t="s">
        <v>676</v>
      </c>
      <c r="V55" s="4" t="s">
        <v>655</v>
      </c>
      <c r="W55" s="4" t="s">
        <v>349</v>
      </c>
      <c r="X55" s="4" t="s">
        <v>70</v>
      </c>
      <c r="Y55" s="4"/>
    </row>
    <row r="56" spans="1:25" ht="54.7">
      <c r="A56" s="4" t="s">
        <v>677</v>
      </c>
      <c r="B56" s="4" t="s">
        <v>678</v>
      </c>
      <c r="C56" s="4" t="s">
        <v>679</v>
      </c>
      <c r="D56" s="4" t="s">
        <v>467</v>
      </c>
      <c r="E56" s="4" t="s">
        <v>190</v>
      </c>
      <c r="F56" s="4" t="s">
        <v>191</v>
      </c>
      <c r="G56" s="4" t="s">
        <v>54</v>
      </c>
      <c r="H56" s="4" t="s">
        <v>680</v>
      </c>
      <c r="I56" s="4" t="s">
        <v>681</v>
      </c>
      <c r="J56" s="4" t="s">
        <v>682</v>
      </c>
      <c r="K56" s="4" t="s">
        <v>683</v>
      </c>
      <c r="L56" s="4" t="s">
        <v>8</v>
      </c>
      <c r="M56" s="4" t="s">
        <v>59</v>
      </c>
      <c r="N56" s="4" t="s">
        <v>60</v>
      </c>
      <c r="O56" s="4" t="s">
        <v>684</v>
      </c>
      <c r="P56" s="4" t="s">
        <v>685</v>
      </c>
      <c r="Q56" s="4" t="s">
        <v>686</v>
      </c>
      <c r="R56" s="4" t="s">
        <v>687</v>
      </c>
      <c r="S56" s="4" t="s">
        <v>65</v>
      </c>
      <c r="T56" s="4" t="s">
        <v>564</v>
      </c>
      <c r="U56" s="4" t="s">
        <v>586</v>
      </c>
      <c r="V56" s="4" t="s">
        <v>201</v>
      </c>
      <c r="W56" s="4" t="s">
        <v>69</v>
      </c>
      <c r="X56" s="4" t="s">
        <v>70</v>
      </c>
      <c r="Y56" s="4"/>
    </row>
    <row r="57" spans="1:25" ht="54.7">
      <c r="A57" s="4" t="s">
        <v>688</v>
      </c>
      <c r="B57" s="4" t="s">
        <v>678</v>
      </c>
      <c r="C57" s="4" t="s">
        <v>679</v>
      </c>
      <c r="D57" s="4" t="s">
        <v>689</v>
      </c>
      <c r="E57" s="4" t="s">
        <v>52</v>
      </c>
      <c r="F57" s="4" t="s">
        <v>53</v>
      </c>
      <c r="G57" s="4" t="s">
        <v>54</v>
      </c>
      <c r="H57" s="4" t="s">
        <v>690</v>
      </c>
      <c r="I57" s="4" t="s">
        <v>691</v>
      </c>
      <c r="J57" s="4" t="s">
        <v>692</v>
      </c>
      <c r="K57" s="4" t="s">
        <v>693</v>
      </c>
      <c r="L57" s="4" t="s">
        <v>8</v>
      </c>
      <c r="M57" s="4" t="s">
        <v>59</v>
      </c>
      <c r="N57" s="4" t="s">
        <v>60</v>
      </c>
      <c r="O57" s="4" t="s">
        <v>684</v>
      </c>
      <c r="P57" s="4" t="s">
        <v>685</v>
      </c>
      <c r="Q57" s="4" t="s">
        <v>686</v>
      </c>
      <c r="R57" s="4" t="s">
        <v>694</v>
      </c>
      <c r="S57" s="4" t="s">
        <v>65</v>
      </c>
      <c r="T57" s="4" t="s">
        <v>436</v>
      </c>
      <c r="U57" s="4" t="s">
        <v>467</v>
      </c>
      <c r="V57" s="4" t="s">
        <v>138</v>
      </c>
      <c r="W57" s="4" t="s">
        <v>69</v>
      </c>
      <c r="X57" s="4" t="s">
        <v>70</v>
      </c>
      <c r="Y57" s="4"/>
    </row>
    <row r="58" spans="1:25" ht="54.7">
      <c r="A58" s="4" t="s">
        <v>695</v>
      </c>
      <c r="B58" s="4" t="s">
        <v>678</v>
      </c>
      <c r="C58" s="4" t="s">
        <v>679</v>
      </c>
      <c r="D58" s="4" t="s">
        <v>696</v>
      </c>
      <c r="E58" s="4" t="s">
        <v>190</v>
      </c>
      <c r="F58" s="4" t="s">
        <v>191</v>
      </c>
      <c r="G58" s="4" t="s">
        <v>54</v>
      </c>
      <c r="H58" s="4" t="s">
        <v>697</v>
      </c>
      <c r="I58" s="4" t="s">
        <v>698</v>
      </c>
      <c r="J58" s="4" t="s">
        <v>699</v>
      </c>
      <c r="K58" s="4" t="s">
        <v>700</v>
      </c>
      <c r="L58" s="4" t="s">
        <v>8</v>
      </c>
      <c r="M58" s="4" t="s">
        <v>59</v>
      </c>
      <c r="N58" s="4" t="s">
        <v>60</v>
      </c>
      <c r="O58" s="4" t="s">
        <v>701</v>
      </c>
      <c r="P58" s="4" t="s">
        <v>685</v>
      </c>
      <c r="Q58" s="4" t="s">
        <v>702</v>
      </c>
      <c r="R58" s="4" t="s">
        <v>703</v>
      </c>
      <c r="S58" s="4" t="s">
        <v>65</v>
      </c>
      <c r="T58" s="4" t="s">
        <v>704</v>
      </c>
      <c r="U58" s="4" t="s">
        <v>467</v>
      </c>
      <c r="V58" s="4" t="s">
        <v>201</v>
      </c>
      <c r="W58" s="4" t="s">
        <v>69</v>
      </c>
      <c r="X58" s="4" t="s">
        <v>70</v>
      </c>
      <c r="Y58" s="4"/>
    </row>
    <row r="59" spans="1:25" ht="54.7">
      <c r="A59" s="4" t="s">
        <v>705</v>
      </c>
      <c r="B59" s="4" t="s">
        <v>678</v>
      </c>
      <c r="C59" s="4" t="s">
        <v>679</v>
      </c>
      <c r="D59" s="4" t="s">
        <v>706</v>
      </c>
      <c r="E59" s="4" t="s">
        <v>73</v>
      </c>
      <c r="F59" s="4" t="s">
        <v>74</v>
      </c>
      <c r="G59" s="4" t="s">
        <v>54</v>
      </c>
      <c r="H59" s="4" t="s">
        <v>707</v>
      </c>
      <c r="I59" s="4" t="s">
        <v>708</v>
      </c>
      <c r="J59" s="4" t="s">
        <v>709</v>
      </c>
      <c r="K59" s="4" t="s">
        <v>710</v>
      </c>
      <c r="L59" s="4" t="s">
        <v>8</v>
      </c>
      <c r="M59" s="4" t="s">
        <v>59</v>
      </c>
      <c r="N59" s="4" t="s">
        <v>60</v>
      </c>
      <c r="O59" s="4" t="s">
        <v>711</v>
      </c>
      <c r="P59" s="4" t="s">
        <v>712</v>
      </c>
      <c r="Q59" s="4" t="s">
        <v>686</v>
      </c>
      <c r="R59" s="4" t="s">
        <v>713</v>
      </c>
      <c r="S59" s="4" t="s">
        <v>65</v>
      </c>
      <c r="T59" s="4" t="s">
        <v>675</v>
      </c>
      <c r="U59" s="4" t="s">
        <v>467</v>
      </c>
      <c r="V59" s="4" t="s">
        <v>214</v>
      </c>
      <c r="W59" s="4" t="s">
        <v>69</v>
      </c>
      <c r="X59" s="4" t="s">
        <v>70</v>
      </c>
      <c r="Y59" s="4"/>
    </row>
    <row r="60" spans="1:25" ht="54.7">
      <c r="A60" s="4" t="s">
        <v>714</v>
      </c>
      <c r="B60" s="4" t="s">
        <v>678</v>
      </c>
      <c r="C60" s="4" t="s">
        <v>679</v>
      </c>
      <c r="D60" s="4" t="s">
        <v>715</v>
      </c>
      <c r="E60" s="4" t="s">
        <v>190</v>
      </c>
      <c r="F60" s="4" t="s">
        <v>191</v>
      </c>
      <c r="G60" s="4" t="s">
        <v>54</v>
      </c>
      <c r="H60" s="4" t="s">
        <v>716</v>
      </c>
      <c r="I60" s="4" t="s">
        <v>717</v>
      </c>
      <c r="J60" s="4" t="s">
        <v>718</v>
      </c>
      <c r="K60" s="4" t="s">
        <v>719</v>
      </c>
      <c r="L60" s="4" t="s">
        <v>8</v>
      </c>
      <c r="M60" s="4" t="s">
        <v>59</v>
      </c>
      <c r="N60" s="4" t="s">
        <v>60</v>
      </c>
      <c r="O60" s="4" t="s">
        <v>720</v>
      </c>
      <c r="P60" s="4" t="s">
        <v>685</v>
      </c>
      <c r="Q60" s="4" t="s">
        <v>686</v>
      </c>
      <c r="R60" s="4" t="s">
        <v>721</v>
      </c>
      <c r="S60" s="4" t="s">
        <v>65</v>
      </c>
      <c r="T60" s="4" t="s">
        <v>722</v>
      </c>
      <c r="U60" s="4" t="s">
        <v>723</v>
      </c>
      <c r="V60" s="4" t="s">
        <v>214</v>
      </c>
      <c r="W60" s="4" t="s">
        <v>69</v>
      </c>
      <c r="X60" s="4" t="s">
        <v>70</v>
      </c>
      <c r="Y60" s="4"/>
    </row>
    <row r="61" spans="1:25" ht="54.7">
      <c r="A61" s="4" t="s">
        <v>724</v>
      </c>
      <c r="B61" s="4" t="s">
        <v>678</v>
      </c>
      <c r="C61" s="4" t="s">
        <v>679</v>
      </c>
      <c r="D61" s="4" t="s">
        <v>725</v>
      </c>
      <c r="E61" s="4" t="s">
        <v>52</v>
      </c>
      <c r="F61" s="4" t="s">
        <v>53</v>
      </c>
      <c r="G61" s="4" t="s">
        <v>54</v>
      </c>
      <c r="H61" s="4" t="s">
        <v>726</v>
      </c>
      <c r="I61" s="4" t="s">
        <v>727</v>
      </c>
      <c r="J61" s="4" t="s">
        <v>728</v>
      </c>
      <c r="K61" s="4" t="s">
        <v>729</v>
      </c>
      <c r="L61" s="4" t="s">
        <v>11</v>
      </c>
      <c r="M61" s="4" t="s">
        <v>59</v>
      </c>
      <c r="N61" s="4" t="s">
        <v>60</v>
      </c>
      <c r="O61" s="4" t="s">
        <v>684</v>
      </c>
      <c r="P61" s="4" t="s">
        <v>730</v>
      </c>
      <c r="Q61" s="4" t="s">
        <v>686</v>
      </c>
      <c r="R61" s="4" t="s">
        <v>731</v>
      </c>
      <c r="S61" s="4" t="s">
        <v>65</v>
      </c>
      <c r="T61" s="4" t="s">
        <v>436</v>
      </c>
      <c r="U61" s="4" t="s">
        <v>467</v>
      </c>
      <c r="V61" s="4" t="s">
        <v>655</v>
      </c>
      <c r="W61" s="4" t="s">
        <v>69</v>
      </c>
      <c r="X61" s="4" t="s">
        <v>70</v>
      </c>
      <c r="Y61" s="4"/>
    </row>
    <row r="62" spans="1:25" ht="54.7">
      <c r="A62" s="4" t="s">
        <v>732</v>
      </c>
      <c r="B62" s="4" t="s">
        <v>678</v>
      </c>
      <c r="C62" s="4" t="s">
        <v>679</v>
      </c>
      <c r="D62" s="4" t="s">
        <v>733</v>
      </c>
      <c r="E62" s="4" t="s">
        <v>190</v>
      </c>
      <c r="F62" s="4" t="s">
        <v>191</v>
      </c>
      <c r="G62" s="4" t="s">
        <v>54</v>
      </c>
      <c r="H62" s="4" t="s">
        <v>734</v>
      </c>
      <c r="I62" s="4" t="s">
        <v>735</v>
      </c>
      <c r="J62" s="4" t="s">
        <v>736</v>
      </c>
      <c r="K62" s="4" t="s">
        <v>737</v>
      </c>
      <c r="L62" s="4" t="s">
        <v>11</v>
      </c>
      <c r="M62" s="4" t="s">
        <v>59</v>
      </c>
      <c r="N62" s="4" t="s">
        <v>60</v>
      </c>
      <c r="O62" s="4" t="s">
        <v>738</v>
      </c>
      <c r="P62" s="4" t="s">
        <v>685</v>
      </c>
      <c r="Q62" s="4" t="s">
        <v>739</v>
      </c>
      <c r="R62" s="4" t="s">
        <v>740</v>
      </c>
      <c r="S62" s="4" t="s">
        <v>65</v>
      </c>
      <c r="T62" s="4" t="s">
        <v>741</v>
      </c>
      <c r="U62" s="4" t="s">
        <v>742</v>
      </c>
      <c r="V62" s="4" t="s">
        <v>201</v>
      </c>
      <c r="W62" s="4" t="s">
        <v>142</v>
      </c>
      <c r="X62" s="4" t="s">
        <v>70</v>
      </c>
      <c r="Y62" s="4"/>
    </row>
    <row r="63" spans="1:25" ht="54.7">
      <c r="A63" s="4" t="s">
        <v>743</v>
      </c>
      <c r="B63" s="4" t="s">
        <v>678</v>
      </c>
      <c r="C63" s="4" t="s">
        <v>679</v>
      </c>
      <c r="D63" s="4" t="s">
        <v>744</v>
      </c>
      <c r="E63" s="4" t="s">
        <v>73</v>
      </c>
      <c r="F63" s="4" t="s">
        <v>74</v>
      </c>
      <c r="G63" s="4" t="s">
        <v>54</v>
      </c>
      <c r="H63" s="4" t="s">
        <v>745</v>
      </c>
      <c r="I63" s="4" t="s">
        <v>746</v>
      </c>
      <c r="J63" s="4" t="s">
        <v>747</v>
      </c>
      <c r="K63" s="4" t="s">
        <v>748</v>
      </c>
      <c r="L63" s="4" t="s">
        <v>11</v>
      </c>
      <c r="M63" s="4" t="s">
        <v>168</v>
      </c>
      <c r="N63" s="4" t="s">
        <v>169</v>
      </c>
      <c r="O63" s="4" t="s">
        <v>749</v>
      </c>
      <c r="P63" s="4" t="s">
        <v>750</v>
      </c>
      <c r="Q63" s="4" t="s">
        <v>751</v>
      </c>
      <c r="R63" s="4" t="s">
        <v>752</v>
      </c>
      <c r="S63" s="4" t="s">
        <v>65</v>
      </c>
      <c r="T63" s="4" t="s">
        <v>753</v>
      </c>
      <c r="U63" s="4" t="s">
        <v>754</v>
      </c>
      <c r="V63" s="4" t="s">
        <v>655</v>
      </c>
      <c r="W63" s="4" t="s">
        <v>69</v>
      </c>
      <c r="X63" s="4" t="s">
        <v>70</v>
      </c>
      <c r="Y63" s="4"/>
    </row>
    <row r="64" spans="1:25" ht="54.7">
      <c r="A64" s="4" t="s">
        <v>755</v>
      </c>
      <c r="B64" s="4" t="s">
        <v>678</v>
      </c>
      <c r="C64" s="4" t="s">
        <v>679</v>
      </c>
      <c r="D64" s="4" t="s">
        <v>756</v>
      </c>
      <c r="E64" s="4" t="s">
        <v>190</v>
      </c>
      <c r="F64" s="4" t="s">
        <v>191</v>
      </c>
      <c r="G64" s="4" t="s">
        <v>54</v>
      </c>
      <c r="H64" s="4" t="s">
        <v>757</v>
      </c>
      <c r="I64" s="4" t="s">
        <v>758</v>
      </c>
      <c r="J64" s="4" t="s">
        <v>759</v>
      </c>
      <c r="K64" s="4" t="s">
        <v>760</v>
      </c>
      <c r="L64" s="4" t="s">
        <v>8</v>
      </c>
      <c r="M64" s="4" t="s">
        <v>59</v>
      </c>
      <c r="N64" s="4" t="s">
        <v>60</v>
      </c>
      <c r="O64" s="4" t="s">
        <v>684</v>
      </c>
      <c r="P64" s="4" t="s">
        <v>685</v>
      </c>
      <c r="Q64" s="4" t="s">
        <v>686</v>
      </c>
      <c r="R64" s="4" t="s">
        <v>703</v>
      </c>
      <c r="S64" s="4" t="s">
        <v>65</v>
      </c>
      <c r="T64" s="4" t="s">
        <v>313</v>
      </c>
      <c r="U64" s="4" t="s">
        <v>467</v>
      </c>
      <c r="V64" s="4" t="s">
        <v>138</v>
      </c>
      <c r="W64" s="4" t="s">
        <v>69</v>
      </c>
      <c r="X64" s="4" t="s">
        <v>70</v>
      </c>
      <c r="Y64" s="4"/>
    </row>
    <row r="65" spans="1:25" ht="54.7">
      <c r="A65" s="4" t="s">
        <v>761</v>
      </c>
      <c r="B65" s="4" t="s">
        <v>678</v>
      </c>
      <c r="C65" s="4" t="s">
        <v>679</v>
      </c>
      <c r="D65" s="4" t="s">
        <v>762</v>
      </c>
      <c r="E65" s="4" t="s">
        <v>190</v>
      </c>
      <c r="F65" s="4" t="s">
        <v>191</v>
      </c>
      <c r="G65" s="4" t="s">
        <v>763</v>
      </c>
      <c r="H65" s="4" t="s">
        <v>764</v>
      </c>
      <c r="I65" s="4" t="s">
        <v>765</v>
      </c>
      <c r="J65" s="4" t="s">
        <v>766</v>
      </c>
      <c r="K65" s="4" t="s">
        <v>767</v>
      </c>
      <c r="L65" s="4" t="s">
        <v>11</v>
      </c>
      <c r="M65" s="4" t="s">
        <v>168</v>
      </c>
      <c r="N65" s="4" t="s">
        <v>60</v>
      </c>
      <c r="O65" s="4" t="s">
        <v>768</v>
      </c>
      <c r="P65" s="4" t="s">
        <v>769</v>
      </c>
      <c r="Q65" s="4" t="s">
        <v>686</v>
      </c>
      <c r="R65" s="4" t="s">
        <v>770</v>
      </c>
      <c r="S65" s="4" t="s">
        <v>65</v>
      </c>
      <c r="T65" s="4" t="s">
        <v>771</v>
      </c>
      <c r="U65" s="4" t="s">
        <v>772</v>
      </c>
      <c r="V65" s="4" t="s">
        <v>97</v>
      </c>
      <c r="W65" s="4" t="s">
        <v>773</v>
      </c>
      <c r="X65" s="4" t="s">
        <v>70</v>
      </c>
      <c r="Y65" s="4"/>
    </row>
    <row r="66" spans="1:25" ht="54.7">
      <c r="A66" s="4" t="s">
        <v>774</v>
      </c>
      <c r="B66" s="4" t="s">
        <v>678</v>
      </c>
      <c r="C66" s="4" t="s">
        <v>679</v>
      </c>
      <c r="D66" s="4" t="s">
        <v>775</v>
      </c>
      <c r="E66" s="4" t="s">
        <v>73</v>
      </c>
      <c r="F66" s="4" t="s">
        <v>74</v>
      </c>
      <c r="G66" s="4" t="s">
        <v>776</v>
      </c>
      <c r="H66" s="4" t="s">
        <v>777</v>
      </c>
      <c r="I66" s="4" t="s">
        <v>778</v>
      </c>
      <c r="J66" s="4" t="s">
        <v>779</v>
      </c>
      <c r="K66" s="4" t="s">
        <v>780</v>
      </c>
      <c r="L66" s="4" t="s">
        <v>11</v>
      </c>
      <c r="M66" s="4" t="s">
        <v>59</v>
      </c>
      <c r="N66" s="4" t="s">
        <v>60</v>
      </c>
      <c r="O66" s="4" t="s">
        <v>781</v>
      </c>
      <c r="P66" s="4" t="s">
        <v>550</v>
      </c>
      <c r="Q66" s="4" t="s">
        <v>686</v>
      </c>
      <c r="R66" s="4" t="s">
        <v>782</v>
      </c>
      <c r="S66" s="4" t="s">
        <v>65</v>
      </c>
      <c r="T66" s="4" t="s">
        <v>552</v>
      </c>
      <c r="U66" s="4" t="s">
        <v>783</v>
      </c>
      <c r="V66" s="4" t="s">
        <v>138</v>
      </c>
      <c r="W66" s="4" t="s">
        <v>784</v>
      </c>
      <c r="X66" s="4" t="s">
        <v>70</v>
      </c>
      <c r="Y66" s="4"/>
    </row>
    <row r="67" spans="1:25" ht="54.7">
      <c r="A67" s="4" t="s">
        <v>785</v>
      </c>
      <c r="B67" s="4" t="s">
        <v>678</v>
      </c>
      <c r="C67" s="4" t="s">
        <v>679</v>
      </c>
      <c r="D67" s="4" t="s">
        <v>786</v>
      </c>
      <c r="E67" s="4" t="s">
        <v>787</v>
      </c>
      <c r="F67" s="4" t="s">
        <v>142</v>
      </c>
      <c r="G67" s="4" t="s">
        <v>178</v>
      </c>
      <c r="H67" s="4" t="s">
        <v>788</v>
      </c>
      <c r="I67" s="4" t="s">
        <v>789</v>
      </c>
      <c r="J67" s="4" t="s">
        <v>790</v>
      </c>
      <c r="K67" s="4" t="s">
        <v>791</v>
      </c>
      <c r="L67" s="4" t="s">
        <v>8</v>
      </c>
      <c r="M67" s="4" t="s">
        <v>59</v>
      </c>
      <c r="N67" s="4" t="s">
        <v>60</v>
      </c>
      <c r="O67" s="4" t="s">
        <v>684</v>
      </c>
      <c r="P67" s="4" t="s">
        <v>792</v>
      </c>
      <c r="Q67" s="4" t="s">
        <v>686</v>
      </c>
      <c r="R67" s="4" t="s">
        <v>793</v>
      </c>
      <c r="S67" s="4" t="s">
        <v>65</v>
      </c>
      <c r="T67" s="4" t="s">
        <v>794</v>
      </c>
      <c r="U67" s="4" t="s">
        <v>795</v>
      </c>
      <c r="V67" s="4" t="s">
        <v>83</v>
      </c>
      <c r="W67" s="4" t="s">
        <v>142</v>
      </c>
      <c r="X67" s="4" t="s">
        <v>70</v>
      </c>
      <c r="Y67" s="4"/>
    </row>
    <row r="68" spans="1:25" ht="54.7">
      <c r="A68" s="4" t="s">
        <v>796</v>
      </c>
      <c r="B68" s="4" t="s">
        <v>797</v>
      </c>
      <c r="C68" s="4" t="s">
        <v>798</v>
      </c>
      <c r="D68" s="4" t="s">
        <v>799</v>
      </c>
      <c r="E68" s="4" t="s">
        <v>52</v>
      </c>
      <c r="F68" s="4" t="s">
        <v>53</v>
      </c>
      <c r="G68" s="4" t="s">
        <v>102</v>
      </c>
      <c r="H68" s="4" t="s">
        <v>800</v>
      </c>
      <c r="I68" s="4" t="s">
        <v>801</v>
      </c>
      <c r="J68" s="4" t="s">
        <v>802</v>
      </c>
      <c r="K68" s="4" t="s">
        <v>803</v>
      </c>
      <c r="L68" s="4" t="s">
        <v>8</v>
      </c>
      <c r="M68" s="4" t="s">
        <v>59</v>
      </c>
      <c r="N68" s="4" t="s">
        <v>60</v>
      </c>
      <c r="O68" s="4" t="s">
        <v>804</v>
      </c>
      <c r="P68" s="4" t="s">
        <v>805</v>
      </c>
      <c r="Q68" s="4" t="s">
        <v>806</v>
      </c>
      <c r="R68" s="4" t="s">
        <v>807</v>
      </c>
      <c r="S68" s="4" t="s">
        <v>65</v>
      </c>
      <c r="T68" s="4" t="s">
        <v>808</v>
      </c>
      <c r="U68" s="4" t="s">
        <v>588</v>
      </c>
      <c r="V68" s="4" t="s">
        <v>809</v>
      </c>
      <c r="W68" s="4" t="s">
        <v>69</v>
      </c>
      <c r="X68" s="4" t="s">
        <v>70</v>
      </c>
      <c r="Y68" s="4"/>
    </row>
    <row r="69" spans="1:25" ht="54.7">
      <c r="A69" s="4" t="s">
        <v>810</v>
      </c>
      <c r="B69" s="4" t="s">
        <v>797</v>
      </c>
      <c r="C69" s="4" t="s">
        <v>798</v>
      </c>
      <c r="D69" s="4" t="s">
        <v>811</v>
      </c>
      <c r="E69" s="4" t="s">
        <v>52</v>
      </c>
      <c r="F69" s="4" t="s">
        <v>53</v>
      </c>
      <c r="G69" s="4" t="s">
        <v>102</v>
      </c>
      <c r="H69" s="4" t="s">
        <v>812</v>
      </c>
      <c r="I69" s="4" t="s">
        <v>813</v>
      </c>
      <c r="J69" s="4" t="s">
        <v>814</v>
      </c>
      <c r="K69" s="4" t="s">
        <v>815</v>
      </c>
      <c r="L69" s="4" t="s">
        <v>8</v>
      </c>
      <c r="M69" s="4" t="s">
        <v>59</v>
      </c>
      <c r="N69" s="4" t="s">
        <v>60</v>
      </c>
      <c r="O69" s="4" t="s">
        <v>816</v>
      </c>
      <c r="P69" s="4" t="s">
        <v>799</v>
      </c>
      <c r="Q69" s="4" t="s">
        <v>817</v>
      </c>
      <c r="R69" s="4" t="s">
        <v>807</v>
      </c>
      <c r="S69" s="4" t="s">
        <v>65</v>
      </c>
      <c r="T69" s="4" t="s">
        <v>818</v>
      </c>
      <c r="U69" s="4" t="s">
        <v>799</v>
      </c>
      <c r="V69" s="4" t="s">
        <v>138</v>
      </c>
      <c r="W69" s="4" t="s">
        <v>69</v>
      </c>
      <c r="X69" s="4" t="s">
        <v>70</v>
      </c>
      <c r="Y69" s="4"/>
    </row>
    <row r="70" spans="1:25" ht="54.7">
      <c r="A70" s="4" t="s">
        <v>819</v>
      </c>
      <c r="B70" s="4" t="s">
        <v>797</v>
      </c>
      <c r="C70" s="4" t="s">
        <v>798</v>
      </c>
      <c r="D70" s="4" t="s">
        <v>820</v>
      </c>
      <c r="E70" s="4" t="s">
        <v>52</v>
      </c>
      <c r="F70" s="4" t="s">
        <v>53</v>
      </c>
      <c r="G70" s="4" t="s">
        <v>102</v>
      </c>
      <c r="H70" s="4" t="s">
        <v>821</v>
      </c>
      <c r="I70" s="4" t="s">
        <v>822</v>
      </c>
      <c r="J70" s="4" t="s">
        <v>823</v>
      </c>
      <c r="K70" s="4" t="s">
        <v>824</v>
      </c>
      <c r="L70" s="4" t="s">
        <v>11</v>
      </c>
      <c r="M70" s="4" t="s">
        <v>59</v>
      </c>
      <c r="N70" s="4" t="s">
        <v>60</v>
      </c>
      <c r="O70" s="4" t="s">
        <v>816</v>
      </c>
      <c r="P70" s="4" t="s">
        <v>799</v>
      </c>
      <c r="Q70" s="4" t="s">
        <v>817</v>
      </c>
      <c r="R70" s="4" t="s">
        <v>807</v>
      </c>
      <c r="S70" s="4" t="s">
        <v>65</v>
      </c>
      <c r="T70" s="4" t="s">
        <v>818</v>
      </c>
      <c r="U70" s="4" t="s">
        <v>799</v>
      </c>
      <c r="V70" s="4" t="s">
        <v>655</v>
      </c>
      <c r="W70" s="4" t="s">
        <v>69</v>
      </c>
      <c r="X70" s="4" t="s">
        <v>70</v>
      </c>
      <c r="Y70" s="4"/>
    </row>
    <row r="71" spans="1:25" ht="54.7">
      <c r="A71" s="4" t="s">
        <v>825</v>
      </c>
      <c r="B71" s="4" t="s">
        <v>797</v>
      </c>
      <c r="C71" s="4" t="s">
        <v>798</v>
      </c>
      <c r="D71" s="4" t="s">
        <v>826</v>
      </c>
      <c r="E71" s="4" t="s">
        <v>52</v>
      </c>
      <c r="F71" s="4" t="s">
        <v>53</v>
      </c>
      <c r="G71" s="4" t="s">
        <v>102</v>
      </c>
      <c r="H71" s="4" t="s">
        <v>827</v>
      </c>
      <c r="I71" s="4" t="s">
        <v>828</v>
      </c>
      <c r="J71" s="4" t="s">
        <v>829</v>
      </c>
      <c r="K71" s="4" t="s">
        <v>830</v>
      </c>
      <c r="L71" s="4" t="s">
        <v>11</v>
      </c>
      <c r="M71" s="4" t="s">
        <v>59</v>
      </c>
      <c r="N71" s="4" t="s">
        <v>60</v>
      </c>
      <c r="O71" s="4" t="s">
        <v>831</v>
      </c>
      <c r="P71" s="4" t="s">
        <v>799</v>
      </c>
      <c r="Q71" s="4" t="s">
        <v>739</v>
      </c>
      <c r="R71" s="4" t="s">
        <v>832</v>
      </c>
      <c r="S71" s="4" t="s">
        <v>65</v>
      </c>
      <c r="T71" s="4" t="s">
        <v>833</v>
      </c>
      <c r="U71" s="4" t="s">
        <v>834</v>
      </c>
      <c r="V71" s="4" t="s">
        <v>655</v>
      </c>
      <c r="W71" s="4" t="s">
        <v>142</v>
      </c>
      <c r="X71" s="4" t="s">
        <v>70</v>
      </c>
      <c r="Y71" s="4"/>
    </row>
    <row r="72" spans="1:25" ht="54.7">
      <c r="A72" s="4" t="s">
        <v>835</v>
      </c>
      <c r="B72" s="4" t="s">
        <v>797</v>
      </c>
      <c r="C72" s="4" t="s">
        <v>798</v>
      </c>
      <c r="D72" s="4" t="s">
        <v>836</v>
      </c>
      <c r="E72" s="4" t="s">
        <v>52</v>
      </c>
      <c r="F72" s="4" t="s">
        <v>53</v>
      </c>
      <c r="G72" s="4" t="s">
        <v>102</v>
      </c>
      <c r="H72" s="4" t="s">
        <v>837</v>
      </c>
      <c r="I72" s="4" t="s">
        <v>838</v>
      </c>
      <c r="J72" s="4" t="s">
        <v>839</v>
      </c>
      <c r="K72" s="4" t="s">
        <v>840</v>
      </c>
      <c r="L72" s="4" t="s">
        <v>8</v>
      </c>
      <c r="M72" s="4" t="s">
        <v>59</v>
      </c>
      <c r="N72" s="4" t="s">
        <v>60</v>
      </c>
      <c r="O72" s="4" t="s">
        <v>816</v>
      </c>
      <c r="P72" s="4" t="s">
        <v>799</v>
      </c>
      <c r="Q72" s="4" t="s">
        <v>841</v>
      </c>
      <c r="R72" s="4" t="s">
        <v>807</v>
      </c>
      <c r="S72" s="4" t="s">
        <v>65</v>
      </c>
      <c r="T72" s="4" t="s">
        <v>818</v>
      </c>
      <c r="U72" s="4" t="s">
        <v>799</v>
      </c>
      <c r="V72" s="4" t="s">
        <v>138</v>
      </c>
      <c r="W72" s="4" t="s">
        <v>69</v>
      </c>
      <c r="X72" s="4" t="s">
        <v>70</v>
      </c>
      <c r="Y72" s="4"/>
    </row>
    <row r="73" spans="1:25" ht="54.7">
      <c r="A73" s="4" t="s">
        <v>842</v>
      </c>
      <c r="B73" s="4" t="s">
        <v>797</v>
      </c>
      <c r="C73" s="4" t="s">
        <v>798</v>
      </c>
      <c r="D73" s="4" t="s">
        <v>843</v>
      </c>
      <c r="E73" s="4" t="s">
        <v>52</v>
      </c>
      <c r="F73" s="4" t="s">
        <v>53</v>
      </c>
      <c r="G73" s="4" t="s">
        <v>102</v>
      </c>
      <c r="H73" s="4" t="s">
        <v>844</v>
      </c>
      <c r="I73" s="4" t="s">
        <v>845</v>
      </c>
      <c r="J73" s="4" t="s">
        <v>846</v>
      </c>
      <c r="K73" s="4" t="s">
        <v>847</v>
      </c>
      <c r="L73" s="4" t="s">
        <v>8</v>
      </c>
      <c r="M73" s="4" t="s">
        <v>59</v>
      </c>
      <c r="N73" s="4" t="s">
        <v>60</v>
      </c>
      <c r="O73" s="4" t="s">
        <v>804</v>
      </c>
      <c r="P73" s="4" t="s">
        <v>799</v>
      </c>
      <c r="Q73" s="4" t="s">
        <v>848</v>
      </c>
      <c r="R73" s="4" t="s">
        <v>849</v>
      </c>
      <c r="S73" s="4" t="s">
        <v>65</v>
      </c>
      <c r="T73" s="4" t="s">
        <v>850</v>
      </c>
      <c r="U73" s="4" t="s">
        <v>799</v>
      </c>
      <c r="V73" s="4" t="s">
        <v>138</v>
      </c>
      <c r="W73" s="4" t="s">
        <v>69</v>
      </c>
      <c r="X73" s="4" t="s">
        <v>70</v>
      </c>
      <c r="Y73" s="4"/>
    </row>
    <row r="74" spans="1:25" ht="54.7">
      <c r="A74" s="4" t="s">
        <v>851</v>
      </c>
      <c r="B74" s="4" t="s">
        <v>797</v>
      </c>
      <c r="C74" s="4" t="s">
        <v>798</v>
      </c>
      <c r="D74" s="4" t="s">
        <v>852</v>
      </c>
      <c r="E74" s="4" t="s">
        <v>52</v>
      </c>
      <c r="F74" s="4" t="s">
        <v>53</v>
      </c>
      <c r="G74" s="4" t="s">
        <v>853</v>
      </c>
      <c r="H74" s="4" t="s">
        <v>854</v>
      </c>
      <c r="I74" s="4" t="s">
        <v>855</v>
      </c>
      <c r="J74" s="4" t="s">
        <v>856</v>
      </c>
      <c r="K74" s="4" t="s">
        <v>857</v>
      </c>
      <c r="L74" s="4" t="s">
        <v>8</v>
      </c>
      <c r="M74" s="4" t="s">
        <v>59</v>
      </c>
      <c r="N74" s="4" t="s">
        <v>60</v>
      </c>
      <c r="O74" s="4" t="s">
        <v>816</v>
      </c>
      <c r="P74" s="4" t="s">
        <v>799</v>
      </c>
      <c r="Q74" s="4" t="s">
        <v>63</v>
      </c>
      <c r="R74" s="4" t="s">
        <v>858</v>
      </c>
      <c r="S74" s="4" t="s">
        <v>65</v>
      </c>
      <c r="T74" s="4" t="s">
        <v>859</v>
      </c>
      <c r="U74" s="4" t="s">
        <v>860</v>
      </c>
      <c r="V74" s="4" t="s">
        <v>809</v>
      </c>
      <c r="W74" s="4" t="s">
        <v>349</v>
      </c>
      <c r="X74" s="4" t="s">
        <v>70</v>
      </c>
      <c r="Y74" s="4"/>
    </row>
    <row r="75" spans="1:25" ht="54.7">
      <c r="A75" s="4" t="s">
        <v>861</v>
      </c>
      <c r="B75" s="4" t="s">
        <v>797</v>
      </c>
      <c r="C75" s="4" t="s">
        <v>798</v>
      </c>
      <c r="D75" s="4" t="s">
        <v>862</v>
      </c>
      <c r="E75" s="4" t="s">
        <v>863</v>
      </c>
      <c r="F75" s="4" t="s">
        <v>74</v>
      </c>
      <c r="G75" s="4" t="s">
        <v>853</v>
      </c>
      <c r="H75" s="4" t="s">
        <v>864</v>
      </c>
      <c r="I75" s="4" t="s">
        <v>865</v>
      </c>
      <c r="J75" s="4" t="s">
        <v>866</v>
      </c>
      <c r="K75" s="4" t="s">
        <v>867</v>
      </c>
      <c r="L75" s="4" t="s">
        <v>8</v>
      </c>
      <c r="M75" s="4" t="s">
        <v>59</v>
      </c>
      <c r="N75" s="4" t="s">
        <v>60</v>
      </c>
      <c r="O75" s="4" t="s">
        <v>868</v>
      </c>
      <c r="P75" s="4" t="s">
        <v>869</v>
      </c>
      <c r="Q75" s="4" t="s">
        <v>80</v>
      </c>
      <c r="R75" s="4" t="s">
        <v>870</v>
      </c>
      <c r="S75" s="4" t="s">
        <v>65</v>
      </c>
      <c r="T75" s="4" t="s">
        <v>871</v>
      </c>
      <c r="U75" s="4" t="s">
        <v>799</v>
      </c>
      <c r="V75" s="4" t="s">
        <v>655</v>
      </c>
      <c r="W75" s="4" t="s">
        <v>69</v>
      </c>
      <c r="X75" s="4" t="s">
        <v>70</v>
      </c>
      <c r="Y75" s="4"/>
    </row>
    <row r="76" spans="1:25" ht="41">
      <c r="A76" s="4" t="s">
        <v>872</v>
      </c>
      <c r="B76" s="4" t="s">
        <v>797</v>
      </c>
      <c r="C76" s="4" t="s">
        <v>798</v>
      </c>
      <c r="D76" s="4" t="s">
        <v>873</v>
      </c>
      <c r="E76" s="4" t="s">
        <v>73</v>
      </c>
      <c r="F76" s="4" t="s">
        <v>74</v>
      </c>
      <c r="G76" s="4" t="s">
        <v>102</v>
      </c>
      <c r="H76" s="4" t="s">
        <v>874</v>
      </c>
      <c r="I76" s="4" t="s">
        <v>875</v>
      </c>
      <c r="J76" s="4" t="s">
        <v>876</v>
      </c>
      <c r="K76" s="4" t="s">
        <v>877</v>
      </c>
      <c r="L76" s="4" t="s">
        <v>8</v>
      </c>
      <c r="M76" s="4" t="s">
        <v>59</v>
      </c>
      <c r="N76" s="4" t="s">
        <v>60</v>
      </c>
      <c r="O76" s="4" t="s">
        <v>804</v>
      </c>
      <c r="P76" s="4" t="s">
        <v>878</v>
      </c>
      <c r="Q76" s="4" t="s">
        <v>80</v>
      </c>
      <c r="R76" s="4" t="s">
        <v>879</v>
      </c>
      <c r="S76" s="4" t="s">
        <v>65</v>
      </c>
      <c r="T76" s="4" t="s">
        <v>850</v>
      </c>
      <c r="U76" s="4" t="s">
        <v>82</v>
      </c>
      <c r="V76" s="4" t="s">
        <v>809</v>
      </c>
      <c r="W76" s="4" t="s">
        <v>69</v>
      </c>
      <c r="X76" s="4" t="s">
        <v>70</v>
      </c>
      <c r="Y76" s="4"/>
    </row>
    <row r="77" spans="1:25" ht="54.7">
      <c r="A77" s="4" t="s">
        <v>880</v>
      </c>
      <c r="B77" s="4" t="s">
        <v>797</v>
      </c>
      <c r="C77" s="4" t="s">
        <v>798</v>
      </c>
      <c r="D77" s="4" t="s">
        <v>881</v>
      </c>
      <c r="E77" s="4" t="s">
        <v>52</v>
      </c>
      <c r="F77" s="4" t="s">
        <v>53</v>
      </c>
      <c r="G77" s="4" t="s">
        <v>102</v>
      </c>
      <c r="H77" s="4" t="s">
        <v>882</v>
      </c>
      <c r="I77" s="4" t="s">
        <v>883</v>
      </c>
      <c r="J77" s="4" t="s">
        <v>884</v>
      </c>
      <c r="K77" s="4" t="s">
        <v>885</v>
      </c>
      <c r="L77" s="4" t="s">
        <v>11</v>
      </c>
      <c r="M77" s="4" t="s">
        <v>168</v>
      </c>
      <c r="N77" s="4" t="s">
        <v>169</v>
      </c>
      <c r="O77" s="4" t="s">
        <v>886</v>
      </c>
      <c r="P77" s="4" t="s">
        <v>887</v>
      </c>
      <c r="Q77" s="4" t="s">
        <v>80</v>
      </c>
      <c r="R77" s="4" t="s">
        <v>807</v>
      </c>
      <c r="S77" s="4" t="s">
        <v>65</v>
      </c>
      <c r="T77" s="4" t="s">
        <v>888</v>
      </c>
      <c r="U77" s="4" t="s">
        <v>889</v>
      </c>
      <c r="V77" s="4" t="s">
        <v>138</v>
      </c>
      <c r="W77" s="4" t="s">
        <v>69</v>
      </c>
      <c r="X77" s="4" t="s">
        <v>70</v>
      </c>
      <c r="Y77" s="4"/>
    </row>
    <row r="78" spans="1:25" ht="54.7">
      <c r="A78" s="4" t="s">
        <v>890</v>
      </c>
      <c r="B78" s="4" t="s">
        <v>797</v>
      </c>
      <c r="C78" s="4" t="s">
        <v>798</v>
      </c>
      <c r="D78" s="4" t="s">
        <v>891</v>
      </c>
      <c r="E78" s="4" t="s">
        <v>892</v>
      </c>
      <c r="F78" s="4" t="s">
        <v>115</v>
      </c>
      <c r="G78" s="4" t="s">
        <v>102</v>
      </c>
      <c r="H78" s="4" t="s">
        <v>893</v>
      </c>
      <c r="I78" s="4" t="s">
        <v>894</v>
      </c>
      <c r="J78" s="4" t="s">
        <v>895</v>
      </c>
      <c r="K78" s="4" t="s">
        <v>896</v>
      </c>
      <c r="L78" s="4" t="s">
        <v>8</v>
      </c>
      <c r="M78" s="4" t="s">
        <v>59</v>
      </c>
      <c r="N78" s="4" t="s">
        <v>60</v>
      </c>
      <c r="O78" s="4" t="s">
        <v>816</v>
      </c>
      <c r="P78" s="4" t="s">
        <v>897</v>
      </c>
      <c r="Q78" s="4" t="s">
        <v>80</v>
      </c>
      <c r="R78" s="4" t="s">
        <v>898</v>
      </c>
      <c r="S78" s="4" t="s">
        <v>65</v>
      </c>
      <c r="T78" s="4" t="s">
        <v>564</v>
      </c>
      <c r="U78" s="4" t="s">
        <v>899</v>
      </c>
      <c r="V78" s="4" t="s">
        <v>97</v>
      </c>
      <c r="W78" s="4" t="s">
        <v>142</v>
      </c>
      <c r="X78" s="4" t="s">
        <v>70</v>
      </c>
      <c r="Y78" s="4"/>
    </row>
    <row r="79" spans="1:25" ht="54.7">
      <c r="A79" s="4" t="s">
        <v>900</v>
      </c>
      <c r="B79" s="4" t="s">
        <v>797</v>
      </c>
      <c r="C79" s="4" t="s">
        <v>798</v>
      </c>
      <c r="D79" s="4" t="s">
        <v>901</v>
      </c>
      <c r="E79" s="4" t="s">
        <v>73</v>
      </c>
      <c r="F79" s="4" t="s">
        <v>74</v>
      </c>
      <c r="G79" s="4" t="s">
        <v>54</v>
      </c>
      <c r="H79" s="4" t="s">
        <v>902</v>
      </c>
      <c r="I79" s="4" t="s">
        <v>903</v>
      </c>
      <c r="J79" s="4" t="s">
        <v>904</v>
      </c>
      <c r="K79" s="4" t="s">
        <v>905</v>
      </c>
      <c r="L79" s="4" t="s">
        <v>11</v>
      </c>
      <c r="M79" s="4" t="s">
        <v>59</v>
      </c>
      <c r="N79" s="4" t="s">
        <v>60</v>
      </c>
      <c r="O79" s="4" t="s">
        <v>816</v>
      </c>
      <c r="P79" s="4" t="s">
        <v>906</v>
      </c>
      <c r="Q79" s="4" t="s">
        <v>907</v>
      </c>
      <c r="R79" s="4" t="s">
        <v>870</v>
      </c>
      <c r="S79" s="4" t="s">
        <v>65</v>
      </c>
      <c r="T79" s="4" t="s">
        <v>908</v>
      </c>
      <c r="U79" s="4" t="s">
        <v>909</v>
      </c>
      <c r="V79" s="4" t="s">
        <v>97</v>
      </c>
      <c r="W79" s="4" t="s">
        <v>69</v>
      </c>
      <c r="X79" s="4" t="s">
        <v>70</v>
      </c>
      <c r="Y79" s="4"/>
    </row>
    <row r="80" spans="1:25" ht="41">
      <c r="A80" s="4" t="s">
        <v>910</v>
      </c>
      <c r="B80" s="4" t="s">
        <v>911</v>
      </c>
      <c r="C80" s="4" t="s">
        <v>912</v>
      </c>
      <c r="D80" s="4" t="s">
        <v>913</v>
      </c>
      <c r="E80" s="4" t="s">
        <v>101</v>
      </c>
      <c r="F80" s="4" t="s">
        <v>101</v>
      </c>
      <c r="G80" s="4" t="s">
        <v>102</v>
      </c>
      <c r="H80" s="4" t="s">
        <v>914</v>
      </c>
      <c r="I80" s="4" t="s">
        <v>915</v>
      </c>
      <c r="J80" s="4" t="s">
        <v>916</v>
      </c>
      <c r="K80" s="4" t="s">
        <v>917</v>
      </c>
      <c r="L80" s="4" t="s">
        <v>11</v>
      </c>
      <c r="M80" s="4" t="s">
        <v>59</v>
      </c>
      <c r="N80" s="4" t="s">
        <v>60</v>
      </c>
      <c r="O80" s="4" t="s">
        <v>918</v>
      </c>
      <c r="P80" s="4" t="s">
        <v>919</v>
      </c>
      <c r="Q80" s="4" t="s">
        <v>920</v>
      </c>
      <c r="R80" s="4" t="s">
        <v>921</v>
      </c>
      <c r="S80" s="4" t="s">
        <v>65</v>
      </c>
      <c r="T80" s="4" t="s">
        <v>922</v>
      </c>
      <c r="U80" s="4" t="s">
        <v>100</v>
      </c>
      <c r="V80" s="4" t="s">
        <v>655</v>
      </c>
      <c r="W80" s="4" t="s">
        <v>69</v>
      </c>
      <c r="X80" s="4" t="s">
        <v>70</v>
      </c>
      <c r="Y80" s="4"/>
    </row>
    <row r="81" spans="1:25" ht="54.7">
      <c r="A81" s="4" t="s">
        <v>923</v>
      </c>
      <c r="B81" s="4" t="s">
        <v>911</v>
      </c>
      <c r="C81" s="4" t="s">
        <v>912</v>
      </c>
      <c r="D81" s="4" t="s">
        <v>924</v>
      </c>
      <c r="E81" s="4" t="s">
        <v>101</v>
      </c>
      <c r="F81" s="4" t="s">
        <v>101</v>
      </c>
      <c r="G81" s="4" t="s">
        <v>102</v>
      </c>
      <c r="H81" s="4" t="s">
        <v>925</v>
      </c>
      <c r="I81" s="4" t="s">
        <v>926</v>
      </c>
      <c r="J81" s="4" t="s">
        <v>927</v>
      </c>
      <c r="K81" s="4" t="s">
        <v>928</v>
      </c>
      <c r="L81" s="4" t="s">
        <v>11</v>
      </c>
      <c r="M81" s="4" t="s">
        <v>59</v>
      </c>
      <c r="N81" s="4" t="s">
        <v>60</v>
      </c>
      <c r="O81" s="4" t="s">
        <v>929</v>
      </c>
      <c r="P81" s="4" t="s">
        <v>924</v>
      </c>
      <c r="Q81" s="4" t="s">
        <v>920</v>
      </c>
      <c r="R81" s="4" t="s">
        <v>930</v>
      </c>
      <c r="S81" s="4" t="s">
        <v>65</v>
      </c>
      <c r="T81" s="4" t="s">
        <v>931</v>
      </c>
      <c r="U81" s="4" t="s">
        <v>932</v>
      </c>
      <c r="V81" s="4" t="s">
        <v>655</v>
      </c>
      <c r="W81" s="4" t="s">
        <v>69</v>
      </c>
      <c r="X81" s="4" t="s">
        <v>70</v>
      </c>
      <c r="Y81" s="4"/>
    </row>
    <row r="82" spans="1:25" ht="41">
      <c r="A82" s="4" t="s">
        <v>933</v>
      </c>
      <c r="B82" s="4" t="s">
        <v>911</v>
      </c>
      <c r="C82" s="4" t="s">
        <v>912</v>
      </c>
      <c r="D82" s="4" t="s">
        <v>934</v>
      </c>
      <c r="E82" s="4" t="s">
        <v>101</v>
      </c>
      <c r="F82" s="4" t="s">
        <v>101</v>
      </c>
      <c r="G82" s="4" t="s">
        <v>853</v>
      </c>
      <c r="H82" s="4" t="s">
        <v>935</v>
      </c>
      <c r="I82" s="4" t="s">
        <v>936</v>
      </c>
      <c r="J82" s="4" t="s">
        <v>937</v>
      </c>
      <c r="K82" s="4" t="s">
        <v>938</v>
      </c>
      <c r="L82" s="4" t="s">
        <v>8</v>
      </c>
      <c r="M82" s="4" t="s">
        <v>59</v>
      </c>
      <c r="N82" s="4" t="s">
        <v>60</v>
      </c>
      <c r="O82" s="4" t="s">
        <v>939</v>
      </c>
      <c r="P82" s="4" t="s">
        <v>940</v>
      </c>
      <c r="Q82" s="4" t="s">
        <v>639</v>
      </c>
      <c r="R82" s="4" t="s">
        <v>941</v>
      </c>
      <c r="S82" s="4" t="s">
        <v>65</v>
      </c>
      <c r="T82" s="4" t="s">
        <v>942</v>
      </c>
      <c r="U82" s="4" t="s">
        <v>860</v>
      </c>
      <c r="V82" s="4" t="s">
        <v>655</v>
      </c>
      <c r="W82" s="4" t="s">
        <v>349</v>
      </c>
      <c r="X82" s="4" t="s">
        <v>70</v>
      </c>
      <c r="Y82" s="4"/>
    </row>
    <row r="83" spans="1:25" ht="54.7">
      <c r="A83" s="4" t="s">
        <v>943</v>
      </c>
      <c r="B83" s="4" t="s">
        <v>911</v>
      </c>
      <c r="C83" s="4" t="s">
        <v>912</v>
      </c>
      <c r="D83" s="4" t="s">
        <v>944</v>
      </c>
      <c r="E83" s="4" t="s">
        <v>190</v>
      </c>
      <c r="F83" s="4" t="s">
        <v>191</v>
      </c>
      <c r="G83" s="4" t="s">
        <v>178</v>
      </c>
      <c r="H83" s="4" t="s">
        <v>945</v>
      </c>
      <c r="I83" s="4" t="s">
        <v>946</v>
      </c>
      <c r="J83" s="4" t="s">
        <v>947</v>
      </c>
      <c r="K83" s="4" t="s">
        <v>948</v>
      </c>
      <c r="L83" s="4" t="s">
        <v>8</v>
      </c>
      <c r="M83" s="4" t="s">
        <v>59</v>
      </c>
      <c r="N83" s="4" t="s">
        <v>60</v>
      </c>
      <c r="O83" s="4" t="s">
        <v>939</v>
      </c>
      <c r="P83" s="4" t="s">
        <v>949</v>
      </c>
      <c r="Q83" s="4" t="s">
        <v>80</v>
      </c>
      <c r="R83" s="4" t="s">
        <v>216</v>
      </c>
      <c r="S83" s="4" t="s">
        <v>65</v>
      </c>
      <c r="T83" s="4" t="s">
        <v>833</v>
      </c>
      <c r="U83" s="4" t="s">
        <v>950</v>
      </c>
      <c r="V83" s="4" t="s">
        <v>97</v>
      </c>
      <c r="W83" s="4" t="s">
        <v>142</v>
      </c>
      <c r="X83" s="4" t="s">
        <v>70</v>
      </c>
      <c r="Y83" s="4"/>
    </row>
    <row r="84" spans="1:25" ht="54.7">
      <c r="A84" s="4" t="s">
        <v>951</v>
      </c>
      <c r="B84" s="4" t="s">
        <v>911</v>
      </c>
      <c r="C84" s="4" t="s">
        <v>912</v>
      </c>
      <c r="D84" s="4" t="s">
        <v>952</v>
      </c>
      <c r="E84" s="4" t="s">
        <v>254</v>
      </c>
      <c r="F84" s="4" t="s">
        <v>255</v>
      </c>
      <c r="G84" s="4" t="s">
        <v>763</v>
      </c>
      <c r="H84" s="4" t="s">
        <v>953</v>
      </c>
      <c r="I84" s="4" t="s">
        <v>954</v>
      </c>
      <c r="J84" s="4" t="s">
        <v>955</v>
      </c>
      <c r="K84" s="4" t="s">
        <v>956</v>
      </c>
      <c r="L84" s="4" t="s">
        <v>8</v>
      </c>
      <c r="M84" s="4" t="s">
        <v>59</v>
      </c>
      <c r="N84" s="4" t="s">
        <v>60</v>
      </c>
      <c r="O84" s="4" t="s">
        <v>929</v>
      </c>
      <c r="P84" s="4" t="s">
        <v>957</v>
      </c>
      <c r="Q84" s="4" t="s">
        <v>262</v>
      </c>
      <c r="R84" s="4" t="s">
        <v>958</v>
      </c>
      <c r="S84" s="4" t="s">
        <v>65</v>
      </c>
      <c r="T84" s="4" t="s">
        <v>959</v>
      </c>
      <c r="U84" s="4" t="s">
        <v>265</v>
      </c>
      <c r="V84" s="4" t="s">
        <v>97</v>
      </c>
      <c r="W84" s="4" t="s">
        <v>773</v>
      </c>
      <c r="X84" s="4" t="s">
        <v>70</v>
      </c>
      <c r="Y84" s="4"/>
    </row>
    <row r="85" spans="1:25" ht="54.7">
      <c r="A85" s="4" t="s">
        <v>960</v>
      </c>
      <c r="B85" s="4" t="s">
        <v>911</v>
      </c>
      <c r="C85" s="4" t="s">
        <v>912</v>
      </c>
      <c r="D85" s="4" t="s">
        <v>961</v>
      </c>
      <c r="E85" s="4" t="s">
        <v>101</v>
      </c>
      <c r="F85" s="4" t="s">
        <v>101</v>
      </c>
      <c r="G85" s="4" t="s">
        <v>102</v>
      </c>
      <c r="H85" s="4" t="s">
        <v>962</v>
      </c>
      <c r="I85" s="4" t="s">
        <v>963</v>
      </c>
      <c r="J85" s="4" t="s">
        <v>964</v>
      </c>
      <c r="K85" s="4" t="s">
        <v>965</v>
      </c>
      <c r="L85" s="4" t="s">
        <v>14</v>
      </c>
      <c r="M85" s="4" t="s">
        <v>168</v>
      </c>
      <c r="N85" s="4" t="s">
        <v>169</v>
      </c>
      <c r="O85" s="4" t="s">
        <v>474</v>
      </c>
      <c r="P85" s="4" t="s">
        <v>966</v>
      </c>
      <c r="Q85" s="4" t="s">
        <v>639</v>
      </c>
      <c r="R85" s="4" t="s">
        <v>967</v>
      </c>
      <c r="S85" s="4" t="s">
        <v>65</v>
      </c>
      <c r="T85" s="4" t="s">
        <v>675</v>
      </c>
      <c r="U85" s="4" t="s">
        <v>950</v>
      </c>
      <c r="V85" s="4" t="s">
        <v>655</v>
      </c>
      <c r="W85" s="4" t="s">
        <v>69</v>
      </c>
      <c r="X85" s="4" t="s">
        <v>70</v>
      </c>
      <c r="Y85" s="4"/>
    </row>
    <row r="86" spans="1:25" ht="54.7">
      <c r="A86" s="4" t="s">
        <v>968</v>
      </c>
      <c r="B86" s="4" t="s">
        <v>911</v>
      </c>
      <c r="C86" s="4" t="s">
        <v>912</v>
      </c>
      <c r="D86" s="4" t="s">
        <v>969</v>
      </c>
      <c r="E86" s="4" t="s">
        <v>101</v>
      </c>
      <c r="F86" s="4" t="s">
        <v>101</v>
      </c>
      <c r="G86" s="4" t="s">
        <v>853</v>
      </c>
      <c r="H86" s="4" t="s">
        <v>970</v>
      </c>
      <c r="I86" s="4" t="s">
        <v>971</v>
      </c>
      <c r="J86" s="4" t="s">
        <v>972</v>
      </c>
      <c r="K86" s="4" t="s">
        <v>973</v>
      </c>
      <c r="L86" s="4" t="s">
        <v>14</v>
      </c>
      <c r="M86" s="4" t="s">
        <v>168</v>
      </c>
      <c r="N86" s="4" t="s">
        <v>169</v>
      </c>
      <c r="O86" s="4" t="s">
        <v>939</v>
      </c>
      <c r="P86" s="4" t="s">
        <v>974</v>
      </c>
      <c r="Q86" s="4" t="s">
        <v>639</v>
      </c>
      <c r="R86" s="4" t="s">
        <v>975</v>
      </c>
      <c r="S86" s="4" t="s">
        <v>65</v>
      </c>
      <c r="T86" s="4" t="s">
        <v>976</v>
      </c>
      <c r="U86" s="4" t="s">
        <v>977</v>
      </c>
      <c r="V86" s="4" t="s">
        <v>97</v>
      </c>
      <c r="W86" s="4" t="s">
        <v>773</v>
      </c>
      <c r="X86" s="4" t="s">
        <v>70</v>
      </c>
      <c r="Y86" s="4"/>
    </row>
    <row r="87" spans="1:25" ht="54.7">
      <c r="A87" s="4" t="s">
        <v>978</v>
      </c>
      <c r="B87" s="4" t="s">
        <v>911</v>
      </c>
      <c r="C87" s="4" t="s">
        <v>912</v>
      </c>
      <c r="D87" s="4" t="s">
        <v>979</v>
      </c>
      <c r="E87" s="4" t="s">
        <v>101</v>
      </c>
      <c r="F87" s="4" t="s">
        <v>101</v>
      </c>
      <c r="G87" s="4" t="s">
        <v>102</v>
      </c>
      <c r="H87" s="4" t="s">
        <v>980</v>
      </c>
      <c r="I87" s="4" t="s">
        <v>981</v>
      </c>
      <c r="J87" s="4" t="s">
        <v>982</v>
      </c>
      <c r="K87" s="4" t="s">
        <v>983</v>
      </c>
      <c r="L87" s="4" t="s">
        <v>11</v>
      </c>
      <c r="M87" s="4" t="s">
        <v>168</v>
      </c>
      <c r="N87" s="4" t="s">
        <v>60</v>
      </c>
      <c r="O87" s="4" t="s">
        <v>939</v>
      </c>
      <c r="P87" s="4" t="s">
        <v>940</v>
      </c>
      <c r="Q87" s="4" t="s">
        <v>639</v>
      </c>
      <c r="R87" s="4" t="s">
        <v>984</v>
      </c>
      <c r="S87" s="4" t="s">
        <v>65</v>
      </c>
      <c r="T87" s="4" t="s">
        <v>985</v>
      </c>
      <c r="U87" s="4" t="s">
        <v>986</v>
      </c>
      <c r="V87" s="4" t="s">
        <v>97</v>
      </c>
      <c r="W87" s="4" t="s">
        <v>987</v>
      </c>
      <c r="X87" s="4" t="s">
        <v>70</v>
      </c>
      <c r="Y87" s="4"/>
    </row>
    <row r="88" spans="1:25" ht="54.7">
      <c r="A88" s="4" t="s">
        <v>988</v>
      </c>
      <c r="B88" s="4" t="s">
        <v>989</v>
      </c>
      <c r="C88" s="4" t="s">
        <v>990</v>
      </c>
      <c r="D88" s="4" t="s">
        <v>991</v>
      </c>
      <c r="E88" s="4" t="s">
        <v>73</v>
      </c>
      <c r="F88" s="4" t="s">
        <v>74</v>
      </c>
      <c r="G88" s="4" t="s">
        <v>102</v>
      </c>
      <c r="H88" s="4" t="s">
        <v>992</v>
      </c>
      <c r="I88" s="4" t="s">
        <v>993</v>
      </c>
      <c r="J88" s="4" t="s">
        <v>994</v>
      </c>
      <c r="K88" s="4" t="s">
        <v>995</v>
      </c>
      <c r="L88" s="4" t="s">
        <v>8</v>
      </c>
      <c r="M88" s="4" t="s">
        <v>59</v>
      </c>
      <c r="N88" s="4" t="s">
        <v>60</v>
      </c>
      <c r="O88" s="4" t="s">
        <v>996</v>
      </c>
      <c r="P88" s="4" t="s">
        <v>997</v>
      </c>
      <c r="Q88" s="4" t="s">
        <v>80</v>
      </c>
      <c r="R88" s="4" t="s">
        <v>998</v>
      </c>
      <c r="S88" s="4" t="s">
        <v>65</v>
      </c>
      <c r="T88" s="4" t="s">
        <v>808</v>
      </c>
      <c r="U88" s="4" t="s">
        <v>999</v>
      </c>
      <c r="V88" s="4" t="s">
        <v>201</v>
      </c>
      <c r="W88" s="4" t="s">
        <v>69</v>
      </c>
      <c r="X88" s="4" t="s">
        <v>70</v>
      </c>
      <c r="Y88" s="4"/>
    </row>
    <row r="89" spans="1:25" ht="54.7">
      <c r="A89" s="4" t="s">
        <v>1000</v>
      </c>
      <c r="B89" s="4" t="s">
        <v>989</v>
      </c>
      <c r="C89" s="4" t="s">
        <v>990</v>
      </c>
      <c r="D89" s="4" t="s">
        <v>1001</v>
      </c>
      <c r="E89" s="4" t="s">
        <v>863</v>
      </c>
      <c r="F89" s="4" t="s">
        <v>74</v>
      </c>
      <c r="G89" s="4" t="s">
        <v>853</v>
      </c>
      <c r="H89" s="4" t="s">
        <v>1002</v>
      </c>
      <c r="I89" s="4" t="s">
        <v>1003</v>
      </c>
      <c r="J89" s="4" t="s">
        <v>1004</v>
      </c>
      <c r="K89" s="4" t="s">
        <v>1005</v>
      </c>
      <c r="L89" s="4" t="s">
        <v>8</v>
      </c>
      <c r="M89" s="4" t="s">
        <v>59</v>
      </c>
      <c r="N89" s="4" t="s">
        <v>60</v>
      </c>
      <c r="O89" s="4" t="s">
        <v>996</v>
      </c>
      <c r="P89" s="4" t="s">
        <v>997</v>
      </c>
      <c r="Q89" s="4" t="s">
        <v>80</v>
      </c>
      <c r="R89" s="4" t="s">
        <v>998</v>
      </c>
      <c r="S89" s="4" t="s">
        <v>65</v>
      </c>
      <c r="T89" s="4" t="s">
        <v>850</v>
      </c>
      <c r="U89" s="4" t="s">
        <v>999</v>
      </c>
      <c r="V89" s="4" t="s">
        <v>655</v>
      </c>
      <c r="W89" s="4" t="s">
        <v>69</v>
      </c>
      <c r="X89" s="4" t="s">
        <v>70</v>
      </c>
      <c r="Y89" s="4"/>
    </row>
    <row r="90" spans="1:25" ht="68.349999999999994">
      <c r="A90" s="4" t="s">
        <v>1006</v>
      </c>
      <c r="B90" s="4" t="s">
        <v>989</v>
      </c>
      <c r="C90" s="4" t="s">
        <v>990</v>
      </c>
      <c r="D90" s="4" t="s">
        <v>1007</v>
      </c>
      <c r="E90" s="4" t="s">
        <v>73</v>
      </c>
      <c r="F90" s="4" t="s">
        <v>74</v>
      </c>
      <c r="G90" s="4" t="s">
        <v>102</v>
      </c>
      <c r="H90" s="4" t="s">
        <v>1008</v>
      </c>
      <c r="I90" s="4" t="s">
        <v>1009</v>
      </c>
      <c r="J90" s="4" t="s">
        <v>1010</v>
      </c>
      <c r="K90" s="4" t="s">
        <v>1011</v>
      </c>
      <c r="L90" s="4" t="s">
        <v>8</v>
      </c>
      <c r="M90" s="4" t="s">
        <v>59</v>
      </c>
      <c r="N90" s="4" t="s">
        <v>60</v>
      </c>
      <c r="O90" s="4" t="s">
        <v>1012</v>
      </c>
      <c r="P90" s="4" t="s">
        <v>997</v>
      </c>
      <c r="Q90" s="4" t="s">
        <v>80</v>
      </c>
      <c r="R90" s="4" t="s">
        <v>1013</v>
      </c>
      <c r="S90" s="4" t="s">
        <v>65</v>
      </c>
      <c r="T90" s="4" t="s">
        <v>1014</v>
      </c>
      <c r="U90" s="4" t="s">
        <v>1015</v>
      </c>
      <c r="V90" s="4" t="s">
        <v>214</v>
      </c>
      <c r="W90" s="4" t="s">
        <v>69</v>
      </c>
      <c r="X90" s="4" t="s">
        <v>70</v>
      </c>
      <c r="Y90" s="4"/>
    </row>
    <row r="91" spans="1:25" ht="54.7">
      <c r="A91" s="4" t="s">
        <v>1016</v>
      </c>
      <c r="B91" s="4" t="s">
        <v>989</v>
      </c>
      <c r="C91" s="4" t="s">
        <v>990</v>
      </c>
      <c r="D91" s="4" t="s">
        <v>1017</v>
      </c>
      <c r="E91" s="4" t="s">
        <v>73</v>
      </c>
      <c r="F91" s="4" t="s">
        <v>74</v>
      </c>
      <c r="G91" s="4" t="s">
        <v>102</v>
      </c>
      <c r="H91" s="4" t="s">
        <v>1018</v>
      </c>
      <c r="I91" s="4" t="s">
        <v>1019</v>
      </c>
      <c r="J91" s="4" t="s">
        <v>1020</v>
      </c>
      <c r="K91" s="4" t="s">
        <v>1021</v>
      </c>
      <c r="L91" s="4" t="s">
        <v>11</v>
      </c>
      <c r="M91" s="4" t="s">
        <v>59</v>
      </c>
      <c r="N91" s="4" t="s">
        <v>60</v>
      </c>
      <c r="O91" s="4" t="s">
        <v>1012</v>
      </c>
      <c r="P91" s="4" t="s">
        <v>997</v>
      </c>
      <c r="Q91" s="4" t="s">
        <v>1022</v>
      </c>
      <c r="R91" s="4" t="s">
        <v>1013</v>
      </c>
      <c r="S91" s="4" t="s">
        <v>65</v>
      </c>
      <c r="T91" s="4" t="s">
        <v>1023</v>
      </c>
      <c r="U91" s="4" t="s">
        <v>1024</v>
      </c>
      <c r="V91" s="4" t="s">
        <v>655</v>
      </c>
      <c r="W91" s="4" t="s">
        <v>69</v>
      </c>
      <c r="X91" s="4" t="s">
        <v>70</v>
      </c>
      <c r="Y91" s="4"/>
    </row>
    <row r="92" spans="1:25" ht="54.7">
      <c r="A92" s="4" t="s">
        <v>1025</v>
      </c>
      <c r="B92" s="4" t="s">
        <v>989</v>
      </c>
      <c r="C92" s="4" t="s">
        <v>990</v>
      </c>
      <c r="D92" s="4" t="s">
        <v>1026</v>
      </c>
      <c r="E92" s="4" t="s">
        <v>73</v>
      </c>
      <c r="F92" s="4" t="s">
        <v>74</v>
      </c>
      <c r="G92" s="4" t="s">
        <v>102</v>
      </c>
      <c r="H92" s="4" t="s">
        <v>1027</v>
      </c>
      <c r="I92" s="4" t="s">
        <v>1028</v>
      </c>
      <c r="J92" s="4" t="s">
        <v>1029</v>
      </c>
      <c r="K92" s="4" t="s">
        <v>1030</v>
      </c>
      <c r="L92" s="4" t="s">
        <v>8</v>
      </c>
      <c r="M92" s="4" t="s">
        <v>59</v>
      </c>
      <c r="N92" s="4" t="s">
        <v>60</v>
      </c>
      <c r="O92" s="4" t="s">
        <v>996</v>
      </c>
      <c r="P92" s="4" t="s">
        <v>997</v>
      </c>
      <c r="Q92" s="4" t="s">
        <v>80</v>
      </c>
      <c r="R92" s="4" t="s">
        <v>1013</v>
      </c>
      <c r="S92" s="4" t="s">
        <v>65</v>
      </c>
      <c r="T92" s="4" t="s">
        <v>1031</v>
      </c>
      <c r="U92" s="4" t="s">
        <v>1024</v>
      </c>
      <c r="V92" s="4" t="s">
        <v>138</v>
      </c>
      <c r="W92" s="4" t="s">
        <v>69</v>
      </c>
      <c r="X92" s="4" t="s">
        <v>70</v>
      </c>
      <c r="Y92" s="4"/>
    </row>
    <row r="93" spans="1:25" ht="54.7">
      <c r="A93" s="4" t="s">
        <v>1032</v>
      </c>
      <c r="B93" s="4" t="s">
        <v>989</v>
      </c>
      <c r="C93" s="4" t="s">
        <v>990</v>
      </c>
      <c r="D93" s="4" t="s">
        <v>1033</v>
      </c>
      <c r="E93" s="4" t="s">
        <v>73</v>
      </c>
      <c r="F93" s="4" t="s">
        <v>74</v>
      </c>
      <c r="G93" s="4" t="s">
        <v>102</v>
      </c>
      <c r="H93" s="4" t="s">
        <v>1034</v>
      </c>
      <c r="I93" s="4" t="s">
        <v>1035</v>
      </c>
      <c r="J93" s="4" t="s">
        <v>1036</v>
      </c>
      <c r="K93" s="4" t="s">
        <v>1037</v>
      </c>
      <c r="L93" s="4" t="s">
        <v>8</v>
      </c>
      <c r="M93" s="4" t="s">
        <v>59</v>
      </c>
      <c r="N93" s="4" t="s">
        <v>60</v>
      </c>
      <c r="O93" s="4" t="s">
        <v>1038</v>
      </c>
      <c r="P93" s="4" t="s">
        <v>997</v>
      </c>
      <c r="Q93" s="4" t="s">
        <v>80</v>
      </c>
      <c r="R93" s="4" t="s">
        <v>1013</v>
      </c>
      <c r="S93" s="4" t="s">
        <v>65</v>
      </c>
      <c r="T93" s="4" t="s">
        <v>1039</v>
      </c>
      <c r="U93" s="4" t="s">
        <v>1040</v>
      </c>
      <c r="V93" s="4" t="s">
        <v>138</v>
      </c>
      <c r="W93" s="4" t="s">
        <v>69</v>
      </c>
      <c r="X93" s="4" t="s">
        <v>70</v>
      </c>
      <c r="Y93" s="4"/>
    </row>
    <row r="94" spans="1:25" ht="41">
      <c r="A94" s="4" t="s">
        <v>1041</v>
      </c>
      <c r="B94" s="4" t="s">
        <v>989</v>
      </c>
      <c r="C94" s="4" t="s">
        <v>990</v>
      </c>
      <c r="D94" s="4" t="s">
        <v>1042</v>
      </c>
      <c r="E94" s="4" t="s">
        <v>73</v>
      </c>
      <c r="F94" s="4" t="s">
        <v>74</v>
      </c>
      <c r="G94" s="4" t="s">
        <v>102</v>
      </c>
      <c r="H94" s="4" t="s">
        <v>1043</v>
      </c>
      <c r="I94" s="4" t="s">
        <v>1044</v>
      </c>
      <c r="J94" s="4" t="s">
        <v>1045</v>
      </c>
      <c r="K94" s="4" t="s">
        <v>1046</v>
      </c>
      <c r="L94" s="4" t="s">
        <v>11</v>
      </c>
      <c r="M94" s="4" t="s">
        <v>168</v>
      </c>
      <c r="N94" s="4" t="s">
        <v>169</v>
      </c>
      <c r="O94" s="4" t="s">
        <v>1047</v>
      </c>
      <c r="P94" s="4" t="s">
        <v>997</v>
      </c>
      <c r="Q94" s="4" t="s">
        <v>80</v>
      </c>
      <c r="R94" s="4" t="s">
        <v>1013</v>
      </c>
      <c r="S94" s="4" t="s">
        <v>65</v>
      </c>
      <c r="T94" s="4" t="s">
        <v>1048</v>
      </c>
      <c r="U94" s="4" t="s">
        <v>1049</v>
      </c>
      <c r="V94" s="4" t="s">
        <v>655</v>
      </c>
      <c r="W94" s="4" t="s">
        <v>69</v>
      </c>
      <c r="X94" s="4" t="s">
        <v>70</v>
      </c>
      <c r="Y94" s="4"/>
    </row>
    <row r="95" spans="1:25" ht="41">
      <c r="A95" s="4" t="s">
        <v>1050</v>
      </c>
      <c r="B95" s="4" t="s">
        <v>989</v>
      </c>
      <c r="C95" s="4" t="s">
        <v>990</v>
      </c>
      <c r="D95" s="4" t="s">
        <v>1051</v>
      </c>
      <c r="E95" s="4" t="s">
        <v>73</v>
      </c>
      <c r="F95" s="4" t="s">
        <v>74</v>
      </c>
      <c r="G95" s="4" t="s">
        <v>102</v>
      </c>
      <c r="H95" s="4" t="s">
        <v>1052</v>
      </c>
      <c r="I95" s="4" t="s">
        <v>1053</v>
      </c>
      <c r="J95" s="4" t="s">
        <v>1054</v>
      </c>
      <c r="K95" s="4" t="s">
        <v>1055</v>
      </c>
      <c r="L95" s="4" t="s">
        <v>11</v>
      </c>
      <c r="M95" s="4" t="s">
        <v>59</v>
      </c>
      <c r="N95" s="4" t="s">
        <v>60</v>
      </c>
      <c r="O95" s="4" t="s">
        <v>1056</v>
      </c>
      <c r="P95" s="4" t="s">
        <v>997</v>
      </c>
      <c r="Q95" s="4" t="s">
        <v>1022</v>
      </c>
      <c r="R95" s="4" t="s">
        <v>1013</v>
      </c>
      <c r="S95" s="4" t="s">
        <v>65</v>
      </c>
      <c r="T95" s="4" t="s">
        <v>1057</v>
      </c>
      <c r="U95" s="4" t="s">
        <v>1024</v>
      </c>
      <c r="V95" s="4" t="s">
        <v>655</v>
      </c>
      <c r="W95" s="4" t="s">
        <v>69</v>
      </c>
      <c r="X95" s="4" t="s">
        <v>70</v>
      </c>
      <c r="Y95" s="4"/>
    </row>
    <row r="96" spans="1:25" ht="41">
      <c r="A96" s="4" t="s">
        <v>1058</v>
      </c>
      <c r="B96" s="4" t="s">
        <v>989</v>
      </c>
      <c r="C96" s="4" t="s">
        <v>990</v>
      </c>
      <c r="D96" s="4" t="s">
        <v>1059</v>
      </c>
      <c r="E96" s="4" t="s">
        <v>73</v>
      </c>
      <c r="F96" s="4" t="s">
        <v>74</v>
      </c>
      <c r="G96" s="4" t="s">
        <v>102</v>
      </c>
      <c r="H96" s="4" t="s">
        <v>1060</v>
      </c>
      <c r="I96" s="4" t="s">
        <v>1061</v>
      </c>
      <c r="J96" s="4" t="s">
        <v>1062</v>
      </c>
      <c r="K96" s="4" t="s">
        <v>1063</v>
      </c>
      <c r="L96" s="4" t="s">
        <v>8</v>
      </c>
      <c r="M96" s="4" t="s">
        <v>59</v>
      </c>
      <c r="N96" s="4" t="s">
        <v>60</v>
      </c>
      <c r="O96" s="4" t="s">
        <v>1064</v>
      </c>
      <c r="P96" s="4" t="s">
        <v>1065</v>
      </c>
      <c r="Q96" s="4" t="s">
        <v>80</v>
      </c>
      <c r="R96" s="4" t="s">
        <v>1066</v>
      </c>
      <c r="S96" s="4" t="s">
        <v>65</v>
      </c>
      <c r="T96" s="4" t="s">
        <v>1067</v>
      </c>
      <c r="U96" s="4" t="s">
        <v>772</v>
      </c>
      <c r="V96" s="4" t="s">
        <v>655</v>
      </c>
      <c r="W96" s="4" t="s">
        <v>773</v>
      </c>
      <c r="X96" s="4" t="s">
        <v>70</v>
      </c>
      <c r="Y96" s="4"/>
    </row>
    <row r="97" spans="1:25" ht="54.7">
      <c r="A97" s="4" t="s">
        <v>1068</v>
      </c>
      <c r="B97" s="4" t="s">
        <v>989</v>
      </c>
      <c r="C97" s="4" t="s">
        <v>990</v>
      </c>
      <c r="D97" s="4" t="s">
        <v>1069</v>
      </c>
      <c r="E97" s="4" t="s">
        <v>863</v>
      </c>
      <c r="F97" s="4" t="s">
        <v>74</v>
      </c>
      <c r="G97" s="4" t="s">
        <v>853</v>
      </c>
      <c r="H97" s="4" t="s">
        <v>1070</v>
      </c>
      <c r="I97" s="4" t="s">
        <v>1071</v>
      </c>
      <c r="J97" s="4" t="s">
        <v>1072</v>
      </c>
      <c r="K97" s="4" t="s">
        <v>1073</v>
      </c>
      <c r="L97" s="4" t="s">
        <v>8</v>
      </c>
      <c r="M97" s="4" t="s">
        <v>59</v>
      </c>
      <c r="N97" s="4" t="s">
        <v>60</v>
      </c>
      <c r="O97" s="4" t="s">
        <v>1012</v>
      </c>
      <c r="P97" s="4" t="s">
        <v>997</v>
      </c>
      <c r="Q97" s="4" t="s">
        <v>80</v>
      </c>
      <c r="R97" s="4" t="s">
        <v>1013</v>
      </c>
      <c r="S97" s="4" t="s">
        <v>65</v>
      </c>
      <c r="T97" s="4" t="s">
        <v>1074</v>
      </c>
      <c r="U97" s="4" t="s">
        <v>860</v>
      </c>
      <c r="V97" s="4" t="s">
        <v>655</v>
      </c>
      <c r="W97" s="4" t="s">
        <v>349</v>
      </c>
      <c r="X97" s="4" t="s">
        <v>70</v>
      </c>
      <c r="Y97" s="4"/>
    </row>
    <row r="98" spans="1:25" ht="54.7">
      <c r="A98" s="4" t="s">
        <v>1075</v>
      </c>
      <c r="B98" s="4" t="s">
        <v>989</v>
      </c>
      <c r="C98" s="4" t="s">
        <v>990</v>
      </c>
      <c r="D98" s="4" t="s">
        <v>1076</v>
      </c>
      <c r="E98" s="4" t="s">
        <v>73</v>
      </c>
      <c r="F98" s="4" t="s">
        <v>74</v>
      </c>
      <c r="G98" s="4" t="s">
        <v>102</v>
      </c>
      <c r="H98" s="4" t="s">
        <v>1077</v>
      </c>
      <c r="I98" s="4" t="s">
        <v>1078</v>
      </c>
      <c r="J98" s="4" t="s">
        <v>1079</v>
      </c>
      <c r="K98" s="4" t="s">
        <v>1080</v>
      </c>
      <c r="L98" s="4" t="s">
        <v>14</v>
      </c>
      <c r="M98" s="4" t="s">
        <v>168</v>
      </c>
      <c r="N98" s="4" t="s">
        <v>169</v>
      </c>
      <c r="O98" s="4" t="s">
        <v>1081</v>
      </c>
      <c r="P98" s="4" t="s">
        <v>1082</v>
      </c>
      <c r="Q98" s="4" t="s">
        <v>1083</v>
      </c>
      <c r="R98" s="4" t="s">
        <v>1084</v>
      </c>
      <c r="S98" s="4" t="s">
        <v>65</v>
      </c>
      <c r="T98" s="4" t="s">
        <v>1085</v>
      </c>
      <c r="U98" s="4" t="s">
        <v>1086</v>
      </c>
      <c r="V98" s="4" t="s">
        <v>97</v>
      </c>
      <c r="W98" s="4" t="s">
        <v>69</v>
      </c>
      <c r="X98" s="4" t="s">
        <v>70</v>
      </c>
      <c r="Y98" s="4"/>
    </row>
    <row r="99" spans="1:25" ht="54.7">
      <c r="A99" s="4" t="s">
        <v>1087</v>
      </c>
      <c r="B99" s="4" t="s">
        <v>989</v>
      </c>
      <c r="C99" s="4" t="s">
        <v>990</v>
      </c>
      <c r="D99" s="4" t="s">
        <v>1088</v>
      </c>
      <c r="E99" s="4" t="s">
        <v>892</v>
      </c>
      <c r="F99" s="4" t="s">
        <v>74</v>
      </c>
      <c r="G99" s="4" t="s">
        <v>102</v>
      </c>
      <c r="H99" s="4" t="s">
        <v>1089</v>
      </c>
      <c r="I99" s="4" t="s">
        <v>1090</v>
      </c>
      <c r="J99" s="4" t="s">
        <v>1091</v>
      </c>
      <c r="K99" s="4" t="s">
        <v>1092</v>
      </c>
      <c r="L99" s="4" t="s">
        <v>8</v>
      </c>
      <c r="M99" s="4" t="s">
        <v>59</v>
      </c>
      <c r="N99" s="4" t="s">
        <v>60</v>
      </c>
      <c r="O99" s="4" t="s">
        <v>1012</v>
      </c>
      <c r="P99" s="4" t="s">
        <v>897</v>
      </c>
      <c r="Q99" s="4" t="s">
        <v>80</v>
      </c>
      <c r="R99" s="4" t="s">
        <v>1093</v>
      </c>
      <c r="S99" s="4" t="s">
        <v>65</v>
      </c>
      <c r="T99" s="4" t="s">
        <v>564</v>
      </c>
      <c r="U99" s="4" t="s">
        <v>899</v>
      </c>
      <c r="V99" s="4" t="s">
        <v>83</v>
      </c>
      <c r="W99" s="4" t="s">
        <v>142</v>
      </c>
      <c r="X99" s="4" t="s">
        <v>70</v>
      </c>
      <c r="Y99" s="4"/>
    </row>
    <row r="100" spans="1:25" ht="41">
      <c r="A100" s="4" t="s">
        <v>1094</v>
      </c>
      <c r="B100" s="4" t="s">
        <v>1095</v>
      </c>
      <c r="C100" s="4" t="s">
        <v>1096</v>
      </c>
      <c r="D100" s="4" t="s">
        <v>1097</v>
      </c>
      <c r="E100" s="4" t="s">
        <v>73</v>
      </c>
      <c r="F100" s="4" t="s">
        <v>74</v>
      </c>
      <c r="G100" s="4" t="s">
        <v>102</v>
      </c>
      <c r="H100" s="4" t="s">
        <v>1098</v>
      </c>
      <c r="I100" s="4" t="s">
        <v>1099</v>
      </c>
      <c r="J100" s="4" t="s">
        <v>1100</v>
      </c>
      <c r="K100" s="4" t="s">
        <v>1101</v>
      </c>
      <c r="L100" s="4" t="s">
        <v>8</v>
      </c>
      <c r="M100" s="4" t="s">
        <v>59</v>
      </c>
      <c r="N100" s="4" t="s">
        <v>60</v>
      </c>
      <c r="O100" s="4" t="s">
        <v>1102</v>
      </c>
      <c r="P100" s="4" t="s">
        <v>1103</v>
      </c>
      <c r="Q100" s="4" t="s">
        <v>1104</v>
      </c>
      <c r="R100" s="4" t="s">
        <v>998</v>
      </c>
      <c r="S100" s="4" t="s">
        <v>65</v>
      </c>
      <c r="T100" s="4" t="s">
        <v>1105</v>
      </c>
      <c r="U100" s="4" t="s">
        <v>999</v>
      </c>
      <c r="V100" s="4" t="s">
        <v>138</v>
      </c>
      <c r="W100" s="4" t="s">
        <v>69</v>
      </c>
      <c r="X100" s="4" t="s">
        <v>70</v>
      </c>
      <c r="Y100" s="4"/>
    </row>
    <row r="101" spans="1:25" ht="54.7">
      <c r="A101" s="4" t="s">
        <v>1106</v>
      </c>
      <c r="B101" s="4" t="s">
        <v>1095</v>
      </c>
      <c r="C101" s="4" t="s">
        <v>1096</v>
      </c>
      <c r="D101" s="4" t="s">
        <v>1107</v>
      </c>
      <c r="E101" s="4" t="s">
        <v>52</v>
      </c>
      <c r="F101" s="4" t="s">
        <v>53</v>
      </c>
      <c r="G101" s="4" t="s">
        <v>102</v>
      </c>
      <c r="H101" s="4" t="s">
        <v>1108</v>
      </c>
      <c r="I101" s="4" t="s">
        <v>1109</v>
      </c>
      <c r="J101" s="4" t="s">
        <v>1110</v>
      </c>
      <c r="K101" s="4" t="s">
        <v>1111</v>
      </c>
      <c r="L101" s="4" t="s">
        <v>8</v>
      </c>
      <c r="M101" s="4" t="s">
        <v>59</v>
      </c>
      <c r="N101" s="4" t="s">
        <v>60</v>
      </c>
      <c r="O101" s="4" t="s">
        <v>1102</v>
      </c>
      <c r="P101" s="4" t="s">
        <v>1103</v>
      </c>
      <c r="Q101" s="4" t="s">
        <v>1112</v>
      </c>
      <c r="R101" s="4" t="s">
        <v>807</v>
      </c>
      <c r="S101" s="4" t="s">
        <v>65</v>
      </c>
      <c r="T101" s="4" t="s">
        <v>1105</v>
      </c>
      <c r="U101" s="4" t="s">
        <v>1113</v>
      </c>
      <c r="V101" s="4" t="s">
        <v>138</v>
      </c>
      <c r="W101" s="4" t="s">
        <v>69</v>
      </c>
      <c r="X101" s="4" t="s">
        <v>70</v>
      </c>
      <c r="Y101" s="4"/>
    </row>
    <row r="102" spans="1:25" ht="41">
      <c r="A102" s="4" t="s">
        <v>1114</v>
      </c>
      <c r="B102" s="4" t="s">
        <v>1095</v>
      </c>
      <c r="C102" s="4" t="s">
        <v>1096</v>
      </c>
      <c r="D102" s="4" t="s">
        <v>1115</v>
      </c>
      <c r="E102" s="4" t="s">
        <v>892</v>
      </c>
      <c r="F102" s="4" t="s">
        <v>115</v>
      </c>
      <c r="G102" s="4" t="s">
        <v>102</v>
      </c>
      <c r="H102" s="4" t="s">
        <v>1116</v>
      </c>
      <c r="I102" s="4" t="s">
        <v>1117</v>
      </c>
      <c r="J102" s="4" t="s">
        <v>1118</v>
      </c>
      <c r="K102" s="4" t="s">
        <v>1119</v>
      </c>
      <c r="L102" s="4" t="s">
        <v>8</v>
      </c>
      <c r="M102" s="4" t="s">
        <v>59</v>
      </c>
      <c r="N102" s="4" t="s">
        <v>60</v>
      </c>
      <c r="O102" s="4" t="s">
        <v>1120</v>
      </c>
      <c r="P102" s="4" t="s">
        <v>1103</v>
      </c>
      <c r="Q102" s="4" t="s">
        <v>80</v>
      </c>
      <c r="R102" s="4" t="s">
        <v>1121</v>
      </c>
      <c r="S102" s="4" t="s">
        <v>65</v>
      </c>
      <c r="T102" s="4" t="s">
        <v>1122</v>
      </c>
      <c r="U102" s="4" t="s">
        <v>1015</v>
      </c>
      <c r="V102" s="4" t="s">
        <v>138</v>
      </c>
      <c r="W102" s="4" t="s">
        <v>69</v>
      </c>
      <c r="X102" s="4" t="s">
        <v>70</v>
      </c>
      <c r="Y102" s="4"/>
    </row>
    <row r="103" spans="1:25" ht="41">
      <c r="A103" s="4" t="s">
        <v>1123</v>
      </c>
      <c r="B103" s="4" t="s">
        <v>1095</v>
      </c>
      <c r="C103" s="4" t="s">
        <v>1096</v>
      </c>
      <c r="D103" s="4" t="s">
        <v>1124</v>
      </c>
      <c r="E103" s="4" t="s">
        <v>892</v>
      </c>
      <c r="F103" s="4" t="s">
        <v>115</v>
      </c>
      <c r="G103" s="4" t="s">
        <v>102</v>
      </c>
      <c r="H103" s="4" t="s">
        <v>1125</v>
      </c>
      <c r="I103" s="4" t="s">
        <v>1126</v>
      </c>
      <c r="J103" s="4" t="s">
        <v>1127</v>
      </c>
      <c r="K103" s="4" t="s">
        <v>1128</v>
      </c>
      <c r="L103" s="4" t="s">
        <v>11</v>
      </c>
      <c r="M103" s="4" t="s">
        <v>59</v>
      </c>
      <c r="N103" s="4" t="s">
        <v>60</v>
      </c>
      <c r="O103" s="4" t="s">
        <v>1120</v>
      </c>
      <c r="P103" s="4" t="s">
        <v>1103</v>
      </c>
      <c r="Q103" s="4" t="s">
        <v>80</v>
      </c>
      <c r="R103" s="4" t="s">
        <v>1121</v>
      </c>
      <c r="S103" s="4" t="s">
        <v>65</v>
      </c>
      <c r="T103" s="4" t="s">
        <v>1129</v>
      </c>
      <c r="U103" s="4" t="s">
        <v>1130</v>
      </c>
      <c r="V103" s="4" t="s">
        <v>138</v>
      </c>
      <c r="W103" s="4" t="s">
        <v>69</v>
      </c>
      <c r="X103" s="4" t="s">
        <v>70</v>
      </c>
      <c r="Y103" s="4"/>
    </row>
    <row r="104" spans="1:25" ht="54.7">
      <c r="A104" s="4" t="s">
        <v>1131</v>
      </c>
      <c r="B104" s="4" t="s">
        <v>1095</v>
      </c>
      <c r="C104" s="4" t="s">
        <v>1096</v>
      </c>
      <c r="D104" s="4" t="s">
        <v>1132</v>
      </c>
      <c r="E104" s="4" t="s">
        <v>892</v>
      </c>
      <c r="F104" s="4" t="s">
        <v>115</v>
      </c>
      <c r="G104" s="4" t="s">
        <v>102</v>
      </c>
      <c r="H104" s="4" t="s">
        <v>1133</v>
      </c>
      <c r="I104" s="4" t="s">
        <v>1134</v>
      </c>
      <c r="J104" s="4" t="s">
        <v>1135</v>
      </c>
      <c r="K104" s="4" t="s">
        <v>1136</v>
      </c>
      <c r="L104" s="4" t="s">
        <v>8</v>
      </c>
      <c r="M104" s="4" t="s">
        <v>59</v>
      </c>
      <c r="N104" s="4" t="s">
        <v>60</v>
      </c>
      <c r="O104" s="4" t="s">
        <v>1120</v>
      </c>
      <c r="P104" s="4" t="s">
        <v>1103</v>
      </c>
      <c r="Q104" s="4" t="s">
        <v>80</v>
      </c>
      <c r="R104" s="4" t="s">
        <v>1121</v>
      </c>
      <c r="S104" s="4" t="s">
        <v>65</v>
      </c>
      <c r="T104" s="4" t="s">
        <v>1137</v>
      </c>
      <c r="U104" s="4" t="s">
        <v>1130</v>
      </c>
      <c r="V104" s="4" t="s">
        <v>138</v>
      </c>
      <c r="W104" s="4" t="s">
        <v>69</v>
      </c>
      <c r="X104" s="4" t="s">
        <v>70</v>
      </c>
      <c r="Y104" s="4"/>
    </row>
    <row r="105" spans="1:25" ht="54.7">
      <c r="A105" s="4" t="s">
        <v>1138</v>
      </c>
      <c r="B105" s="4" t="s">
        <v>1095</v>
      </c>
      <c r="C105" s="4" t="s">
        <v>1096</v>
      </c>
      <c r="D105" s="4" t="s">
        <v>1139</v>
      </c>
      <c r="E105" s="4" t="s">
        <v>892</v>
      </c>
      <c r="F105" s="4" t="s">
        <v>115</v>
      </c>
      <c r="G105" s="4" t="s">
        <v>102</v>
      </c>
      <c r="H105" s="4" t="s">
        <v>1140</v>
      </c>
      <c r="I105" s="4" t="s">
        <v>1141</v>
      </c>
      <c r="J105" s="4" t="s">
        <v>1142</v>
      </c>
      <c r="K105" s="4" t="s">
        <v>1143</v>
      </c>
      <c r="L105" s="4" t="s">
        <v>8</v>
      </c>
      <c r="M105" s="4" t="s">
        <v>59</v>
      </c>
      <c r="N105" s="4" t="s">
        <v>60</v>
      </c>
      <c r="O105" s="4" t="s">
        <v>1144</v>
      </c>
      <c r="P105" s="4" t="s">
        <v>1103</v>
      </c>
      <c r="Q105" s="4" t="s">
        <v>80</v>
      </c>
      <c r="R105" s="4" t="s">
        <v>1121</v>
      </c>
      <c r="S105" s="4" t="s">
        <v>65</v>
      </c>
      <c r="T105" s="4" t="s">
        <v>1048</v>
      </c>
      <c r="U105" s="4" t="s">
        <v>1130</v>
      </c>
      <c r="V105" s="4" t="s">
        <v>138</v>
      </c>
      <c r="W105" s="4" t="s">
        <v>69</v>
      </c>
      <c r="X105" s="4" t="s">
        <v>70</v>
      </c>
      <c r="Y105" s="4"/>
    </row>
    <row r="106" spans="1:25" ht="54.7">
      <c r="A106" s="4" t="s">
        <v>1145</v>
      </c>
      <c r="B106" s="4" t="s">
        <v>1095</v>
      </c>
      <c r="C106" s="4" t="s">
        <v>1096</v>
      </c>
      <c r="D106" s="4" t="s">
        <v>1146</v>
      </c>
      <c r="E106" s="4" t="s">
        <v>73</v>
      </c>
      <c r="F106" s="4" t="s">
        <v>74</v>
      </c>
      <c r="G106" s="4" t="s">
        <v>102</v>
      </c>
      <c r="H106" s="4" t="s">
        <v>1147</v>
      </c>
      <c r="I106" s="4" t="s">
        <v>1148</v>
      </c>
      <c r="J106" s="4" t="s">
        <v>1149</v>
      </c>
      <c r="K106" s="4" t="s">
        <v>1150</v>
      </c>
      <c r="L106" s="4" t="s">
        <v>8</v>
      </c>
      <c r="M106" s="4" t="s">
        <v>59</v>
      </c>
      <c r="N106" s="4" t="s">
        <v>60</v>
      </c>
      <c r="O106" s="4" t="s">
        <v>1120</v>
      </c>
      <c r="P106" s="4" t="s">
        <v>1103</v>
      </c>
      <c r="Q106" s="4" t="s">
        <v>1151</v>
      </c>
      <c r="R106" s="4" t="s">
        <v>832</v>
      </c>
      <c r="S106" s="4" t="s">
        <v>65</v>
      </c>
      <c r="T106" s="4" t="s">
        <v>1152</v>
      </c>
      <c r="U106" s="4" t="s">
        <v>1153</v>
      </c>
      <c r="V106" s="4" t="s">
        <v>97</v>
      </c>
      <c r="W106" s="4" t="s">
        <v>69</v>
      </c>
      <c r="X106" s="4" t="s">
        <v>70</v>
      </c>
      <c r="Y106" s="4"/>
    </row>
    <row r="107" spans="1:25" ht="54.7">
      <c r="A107" s="4" t="s">
        <v>1154</v>
      </c>
      <c r="B107" s="4" t="s">
        <v>1095</v>
      </c>
      <c r="C107" s="4" t="s">
        <v>1096</v>
      </c>
      <c r="D107" s="4" t="s">
        <v>1155</v>
      </c>
      <c r="E107" s="4" t="s">
        <v>73</v>
      </c>
      <c r="F107" s="4" t="s">
        <v>74</v>
      </c>
      <c r="G107" s="4" t="s">
        <v>102</v>
      </c>
      <c r="H107" s="4" t="s">
        <v>1156</v>
      </c>
      <c r="I107" s="4" t="s">
        <v>1157</v>
      </c>
      <c r="J107" s="4" t="s">
        <v>1158</v>
      </c>
      <c r="K107" s="4" t="s">
        <v>1159</v>
      </c>
      <c r="L107" s="4" t="s">
        <v>8</v>
      </c>
      <c r="M107" s="4" t="s">
        <v>59</v>
      </c>
      <c r="N107" s="4" t="s">
        <v>60</v>
      </c>
      <c r="O107" s="4" t="s">
        <v>1160</v>
      </c>
      <c r="P107" s="4" t="s">
        <v>1161</v>
      </c>
      <c r="Q107" s="4" t="s">
        <v>262</v>
      </c>
      <c r="R107" s="4" t="s">
        <v>1162</v>
      </c>
      <c r="S107" s="4" t="s">
        <v>65</v>
      </c>
      <c r="T107" s="4" t="s">
        <v>959</v>
      </c>
      <c r="U107" s="4" t="s">
        <v>265</v>
      </c>
      <c r="V107" s="4" t="s">
        <v>138</v>
      </c>
      <c r="W107" s="4" t="s">
        <v>773</v>
      </c>
      <c r="X107" s="4" t="s">
        <v>70</v>
      </c>
      <c r="Y107" s="4"/>
    </row>
    <row r="108" spans="1:25" ht="68.349999999999994">
      <c r="A108" s="4" t="s">
        <v>1163</v>
      </c>
      <c r="B108" s="4" t="s">
        <v>1095</v>
      </c>
      <c r="C108" s="4" t="s">
        <v>1096</v>
      </c>
      <c r="D108" s="4" t="s">
        <v>1164</v>
      </c>
      <c r="E108" s="4" t="s">
        <v>254</v>
      </c>
      <c r="F108" s="4" t="s">
        <v>255</v>
      </c>
      <c r="G108" s="4" t="s">
        <v>776</v>
      </c>
      <c r="H108" s="4" t="s">
        <v>1165</v>
      </c>
      <c r="I108" s="4" t="s">
        <v>1166</v>
      </c>
      <c r="J108" s="4" t="s">
        <v>1167</v>
      </c>
      <c r="K108" s="4" t="s">
        <v>1168</v>
      </c>
      <c r="L108" s="4" t="s">
        <v>8</v>
      </c>
      <c r="M108" s="4" t="s">
        <v>59</v>
      </c>
      <c r="N108" s="4" t="s">
        <v>60</v>
      </c>
      <c r="O108" s="4" t="s">
        <v>1169</v>
      </c>
      <c r="P108" s="4" t="s">
        <v>1170</v>
      </c>
      <c r="Q108" s="4" t="s">
        <v>262</v>
      </c>
      <c r="R108" s="4" t="s">
        <v>1171</v>
      </c>
      <c r="S108" s="4" t="s">
        <v>65</v>
      </c>
      <c r="T108" s="4" t="s">
        <v>833</v>
      </c>
      <c r="U108" s="4" t="s">
        <v>950</v>
      </c>
      <c r="V108" s="4" t="s">
        <v>83</v>
      </c>
      <c r="W108" s="4" t="s">
        <v>98</v>
      </c>
      <c r="X108" s="4" t="s">
        <v>70</v>
      </c>
      <c r="Y108" s="4"/>
    </row>
    <row r="109" spans="1:25" ht="54.7">
      <c r="A109" s="4" t="s">
        <v>1172</v>
      </c>
      <c r="B109" s="4" t="s">
        <v>1095</v>
      </c>
      <c r="C109" s="4" t="s">
        <v>1096</v>
      </c>
      <c r="D109" s="4" t="s">
        <v>1173</v>
      </c>
      <c r="E109" s="4" t="s">
        <v>190</v>
      </c>
      <c r="F109" s="4" t="s">
        <v>191</v>
      </c>
      <c r="G109" s="4" t="s">
        <v>1174</v>
      </c>
      <c r="H109" s="4" t="s">
        <v>1175</v>
      </c>
      <c r="I109" s="4" t="s">
        <v>1176</v>
      </c>
      <c r="J109" s="4" t="s">
        <v>1177</v>
      </c>
      <c r="K109" s="4" t="s">
        <v>1178</v>
      </c>
      <c r="L109" s="4" t="s">
        <v>8</v>
      </c>
      <c r="M109" s="4" t="s">
        <v>59</v>
      </c>
      <c r="N109" s="4" t="s">
        <v>60</v>
      </c>
      <c r="O109" s="4" t="s">
        <v>1160</v>
      </c>
      <c r="P109" s="4" t="s">
        <v>1179</v>
      </c>
      <c r="Q109" s="4" t="s">
        <v>80</v>
      </c>
      <c r="R109" s="4" t="s">
        <v>1180</v>
      </c>
      <c r="S109" s="4" t="s">
        <v>65</v>
      </c>
      <c r="T109" s="4" t="s">
        <v>1181</v>
      </c>
      <c r="U109" s="4" t="s">
        <v>772</v>
      </c>
      <c r="V109" s="4" t="s">
        <v>655</v>
      </c>
      <c r="W109" s="4" t="s">
        <v>773</v>
      </c>
      <c r="X109" s="4" t="s">
        <v>70</v>
      </c>
      <c r="Y109" s="4"/>
    </row>
    <row r="110" spans="1:25" ht="54.7">
      <c r="A110" s="4" t="s">
        <v>1182</v>
      </c>
      <c r="B110" s="4" t="s">
        <v>1095</v>
      </c>
      <c r="C110" s="4" t="s">
        <v>1096</v>
      </c>
      <c r="D110" s="4" t="s">
        <v>1183</v>
      </c>
      <c r="E110" s="4" t="s">
        <v>190</v>
      </c>
      <c r="F110" s="4" t="s">
        <v>191</v>
      </c>
      <c r="G110" s="4" t="s">
        <v>54</v>
      </c>
      <c r="H110" s="4" t="s">
        <v>1184</v>
      </c>
      <c r="I110" s="4" t="s">
        <v>1185</v>
      </c>
      <c r="J110" s="4" t="s">
        <v>1186</v>
      </c>
      <c r="K110" s="4" t="s">
        <v>1187</v>
      </c>
      <c r="L110" s="4" t="s">
        <v>8</v>
      </c>
      <c r="M110" s="4" t="s">
        <v>59</v>
      </c>
      <c r="N110" s="4" t="s">
        <v>60</v>
      </c>
      <c r="O110" s="4" t="s">
        <v>1188</v>
      </c>
      <c r="P110" s="4" t="s">
        <v>1189</v>
      </c>
      <c r="Q110" s="4" t="s">
        <v>80</v>
      </c>
      <c r="R110" s="4" t="s">
        <v>1190</v>
      </c>
      <c r="S110" s="4" t="s">
        <v>65</v>
      </c>
      <c r="T110" s="4" t="s">
        <v>1191</v>
      </c>
      <c r="U110" s="4" t="s">
        <v>1192</v>
      </c>
      <c r="V110" s="4" t="s">
        <v>97</v>
      </c>
      <c r="W110" s="4" t="s">
        <v>773</v>
      </c>
      <c r="X110" s="4" t="s">
        <v>70</v>
      </c>
      <c r="Y110" s="4"/>
    </row>
    <row r="111" spans="1:25" ht="54.7">
      <c r="A111" s="4" t="s">
        <v>1193</v>
      </c>
      <c r="B111" s="4" t="s">
        <v>1095</v>
      </c>
      <c r="C111" s="4" t="s">
        <v>1096</v>
      </c>
      <c r="D111" s="4" t="s">
        <v>1105</v>
      </c>
      <c r="E111" s="4" t="s">
        <v>190</v>
      </c>
      <c r="F111" s="4" t="s">
        <v>191</v>
      </c>
      <c r="G111" s="4" t="s">
        <v>776</v>
      </c>
      <c r="H111" s="4" t="s">
        <v>1194</v>
      </c>
      <c r="I111" s="4" t="s">
        <v>1195</v>
      </c>
      <c r="J111" s="4" t="s">
        <v>1196</v>
      </c>
      <c r="K111" s="4" t="s">
        <v>1197</v>
      </c>
      <c r="L111" s="4" t="s">
        <v>8</v>
      </c>
      <c r="M111" s="4" t="s">
        <v>59</v>
      </c>
      <c r="N111" s="4" t="s">
        <v>60</v>
      </c>
      <c r="O111" s="4" t="s">
        <v>1198</v>
      </c>
      <c r="P111" s="4" t="s">
        <v>1199</v>
      </c>
      <c r="Q111" s="4" t="s">
        <v>80</v>
      </c>
      <c r="R111" s="4" t="s">
        <v>613</v>
      </c>
      <c r="S111" s="4" t="s">
        <v>65</v>
      </c>
      <c r="T111" s="4" t="s">
        <v>1200</v>
      </c>
      <c r="U111" s="4" t="s">
        <v>850</v>
      </c>
      <c r="V111" s="4" t="s">
        <v>138</v>
      </c>
      <c r="W111" s="4" t="s">
        <v>784</v>
      </c>
      <c r="X111" s="4" t="s">
        <v>70</v>
      </c>
      <c r="Y111" s="4"/>
    </row>
    <row r="112" spans="1:25" ht="54.7">
      <c r="A112" s="4" t="s">
        <v>1201</v>
      </c>
      <c r="B112" s="4" t="s">
        <v>1095</v>
      </c>
      <c r="C112" s="4" t="s">
        <v>1096</v>
      </c>
      <c r="D112" s="4" t="s">
        <v>1202</v>
      </c>
      <c r="E112" s="4" t="s">
        <v>1203</v>
      </c>
      <c r="F112" s="4" t="s">
        <v>127</v>
      </c>
      <c r="G112" s="4" t="s">
        <v>115</v>
      </c>
      <c r="H112" s="4" t="s">
        <v>1204</v>
      </c>
      <c r="I112" s="4" t="s">
        <v>1205</v>
      </c>
      <c r="J112" s="4" t="s">
        <v>1206</v>
      </c>
      <c r="K112" s="4" t="s">
        <v>1207</v>
      </c>
      <c r="L112" s="4" t="s">
        <v>8</v>
      </c>
      <c r="M112" s="4" t="s">
        <v>59</v>
      </c>
      <c r="N112" s="4" t="s">
        <v>60</v>
      </c>
      <c r="O112" s="4" t="s">
        <v>1208</v>
      </c>
      <c r="P112" s="4" t="s">
        <v>1209</v>
      </c>
      <c r="Q112" s="4" t="s">
        <v>1210</v>
      </c>
      <c r="R112" s="4" t="s">
        <v>1211</v>
      </c>
      <c r="S112" s="4" t="s">
        <v>127</v>
      </c>
      <c r="T112" s="4" t="s">
        <v>1212</v>
      </c>
      <c r="U112" s="4" t="s">
        <v>1213</v>
      </c>
      <c r="V112" s="4" t="s">
        <v>138</v>
      </c>
      <c r="W112" s="4" t="s">
        <v>142</v>
      </c>
      <c r="X112" s="4" t="s">
        <v>70</v>
      </c>
      <c r="Y112" s="4"/>
    </row>
    <row r="113" spans="1:25" ht="54.7">
      <c r="A113" s="4" t="s">
        <v>1214</v>
      </c>
      <c r="B113" s="4" t="s">
        <v>1215</v>
      </c>
      <c r="C113" s="4" t="s">
        <v>1216</v>
      </c>
      <c r="D113" s="4" t="s">
        <v>1217</v>
      </c>
      <c r="E113" s="4" t="s">
        <v>73</v>
      </c>
      <c r="F113" s="4" t="s">
        <v>74</v>
      </c>
      <c r="G113" s="4" t="s">
        <v>102</v>
      </c>
      <c r="H113" s="4" t="s">
        <v>1218</v>
      </c>
      <c r="I113" s="4" t="s">
        <v>1219</v>
      </c>
      <c r="J113" s="4" t="s">
        <v>1220</v>
      </c>
      <c r="K113" s="4" t="s">
        <v>1221</v>
      </c>
      <c r="L113" s="4" t="s">
        <v>11</v>
      </c>
      <c r="M113" s="4" t="s">
        <v>168</v>
      </c>
      <c r="N113" s="4" t="s">
        <v>169</v>
      </c>
      <c r="O113" s="4" t="s">
        <v>1222</v>
      </c>
      <c r="P113" s="4" t="s">
        <v>1223</v>
      </c>
      <c r="Q113" s="4" t="s">
        <v>686</v>
      </c>
      <c r="R113" s="4" t="s">
        <v>998</v>
      </c>
      <c r="S113" s="4" t="s">
        <v>65</v>
      </c>
      <c r="T113" s="4" t="s">
        <v>1224</v>
      </c>
      <c r="U113" s="4" t="s">
        <v>458</v>
      </c>
      <c r="V113" s="4" t="s">
        <v>214</v>
      </c>
      <c r="W113" s="4" t="s">
        <v>69</v>
      </c>
      <c r="X113" s="4" t="s">
        <v>70</v>
      </c>
      <c r="Y113" s="4"/>
    </row>
    <row r="114" spans="1:25" ht="54.7">
      <c r="A114" s="4" t="s">
        <v>1225</v>
      </c>
      <c r="B114" s="4" t="s">
        <v>1215</v>
      </c>
      <c r="C114" s="4" t="s">
        <v>1216</v>
      </c>
      <c r="D114" s="4" t="s">
        <v>1226</v>
      </c>
      <c r="E114" s="4" t="s">
        <v>73</v>
      </c>
      <c r="F114" s="4" t="s">
        <v>74</v>
      </c>
      <c r="G114" s="4" t="s">
        <v>102</v>
      </c>
      <c r="H114" s="4" t="s">
        <v>1227</v>
      </c>
      <c r="I114" s="4" t="s">
        <v>1228</v>
      </c>
      <c r="J114" s="4" t="s">
        <v>1229</v>
      </c>
      <c r="K114" s="4" t="s">
        <v>1230</v>
      </c>
      <c r="L114" s="4" t="s">
        <v>11</v>
      </c>
      <c r="M114" s="4" t="s">
        <v>168</v>
      </c>
      <c r="N114" s="4" t="s">
        <v>169</v>
      </c>
      <c r="O114" s="4" t="s">
        <v>1231</v>
      </c>
      <c r="P114" s="4" t="s">
        <v>1232</v>
      </c>
      <c r="Q114" s="4" t="s">
        <v>686</v>
      </c>
      <c r="R114" s="4" t="s">
        <v>1013</v>
      </c>
      <c r="S114" s="4" t="s">
        <v>65</v>
      </c>
      <c r="T114" s="4" t="s">
        <v>1233</v>
      </c>
      <c r="U114" s="4" t="s">
        <v>1231</v>
      </c>
      <c r="V114" s="4" t="s">
        <v>214</v>
      </c>
      <c r="W114" s="4" t="s">
        <v>69</v>
      </c>
      <c r="X114" s="4" t="s">
        <v>70</v>
      </c>
      <c r="Y114" s="4"/>
    </row>
    <row r="115" spans="1:25" ht="41">
      <c r="A115" s="4" t="s">
        <v>1234</v>
      </c>
      <c r="B115" s="4" t="s">
        <v>1215</v>
      </c>
      <c r="C115" s="4" t="s">
        <v>1216</v>
      </c>
      <c r="D115" s="4" t="s">
        <v>1235</v>
      </c>
      <c r="E115" s="4" t="s">
        <v>73</v>
      </c>
      <c r="F115" s="4" t="s">
        <v>74</v>
      </c>
      <c r="G115" s="4" t="s">
        <v>102</v>
      </c>
      <c r="H115" s="4" t="s">
        <v>1236</v>
      </c>
      <c r="I115" s="4" t="s">
        <v>1237</v>
      </c>
      <c r="J115" s="4" t="s">
        <v>1238</v>
      </c>
      <c r="K115" s="4" t="s">
        <v>1239</v>
      </c>
      <c r="L115" s="4" t="s">
        <v>14</v>
      </c>
      <c r="M115" s="4" t="s">
        <v>168</v>
      </c>
      <c r="N115" s="4" t="s">
        <v>169</v>
      </c>
      <c r="O115" s="4" t="s">
        <v>1240</v>
      </c>
      <c r="P115" s="4" t="s">
        <v>1232</v>
      </c>
      <c r="Q115" s="4" t="s">
        <v>686</v>
      </c>
      <c r="R115" s="4" t="s">
        <v>1013</v>
      </c>
      <c r="S115" s="4" t="s">
        <v>65</v>
      </c>
      <c r="T115" s="4" t="s">
        <v>1241</v>
      </c>
      <c r="U115" s="4" t="s">
        <v>1231</v>
      </c>
      <c r="V115" s="4" t="s">
        <v>655</v>
      </c>
      <c r="W115" s="4" t="s">
        <v>69</v>
      </c>
      <c r="X115" s="4" t="s">
        <v>70</v>
      </c>
      <c r="Y115" s="4"/>
    </row>
    <row r="116" spans="1:25" ht="41">
      <c r="A116" s="4" t="s">
        <v>1242</v>
      </c>
      <c r="B116" s="4" t="s">
        <v>1215</v>
      </c>
      <c r="C116" s="4" t="s">
        <v>1216</v>
      </c>
      <c r="D116" s="4" t="s">
        <v>1243</v>
      </c>
      <c r="E116" s="4" t="s">
        <v>73</v>
      </c>
      <c r="F116" s="4" t="s">
        <v>74</v>
      </c>
      <c r="G116" s="4" t="s">
        <v>102</v>
      </c>
      <c r="H116" s="4" t="s">
        <v>1244</v>
      </c>
      <c r="I116" s="4" t="s">
        <v>1245</v>
      </c>
      <c r="J116" s="4" t="s">
        <v>1246</v>
      </c>
      <c r="K116" s="4" t="s">
        <v>1247</v>
      </c>
      <c r="L116" s="4" t="s">
        <v>8</v>
      </c>
      <c r="M116" s="4" t="s">
        <v>59</v>
      </c>
      <c r="N116" s="4" t="s">
        <v>60</v>
      </c>
      <c r="O116" s="4" t="s">
        <v>1248</v>
      </c>
      <c r="P116" s="4" t="s">
        <v>1249</v>
      </c>
      <c r="Q116" s="4" t="s">
        <v>80</v>
      </c>
      <c r="R116" s="4" t="s">
        <v>1121</v>
      </c>
      <c r="S116" s="4" t="s">
        <v>65</v>
      </c>
      <c r="T116" s="4" t="s">
        <v>1250</v>
      </c>
      <c r="U116" s="4" t="s">
        <v>772</v>
      </c>
      <c r="V116" s="4" t="s">
        <v>214</v>
      </c>
      <c r="W116" s="4" t="s">
        <v>773</v>
      </c>
      <c r="X116" s="4" t="s">
        <v>70</v>
      </c>
      <c r="Y116" s="4"/>
    </row>
    <row r="117" spans="1:25" ht="54.7">
      <c r="A117" s="4" t="s">
        <v>1251</v>
      </c>
      <c r="B117" s="4" t="s">
        <v>1215</v>
      </c>
      <c r="C117" s="4" t="s">
        <v>1216</v>
      </c>
      <c r="D117" s="4" t="s">
        <v>1252</v>
      </c>
      <c r="E117" s="4" t="s">
        <v>190</v>
      </c>
      <c r="F117" s="4" t="s">
        <v>191</v>
      </c>
      <c r="G117" s="4" t="s">
        <v>54</v>
      </c>
      <c r="H117" s="4" t="s">
        <v>1253</v>
      </c>
      <c r="I117" s="4" t="s">
        <v>1254</v>
      </c>
      <c r="J117" s="4" t="s">
        <v>1255</v>
      </c>
      <c r="K117" s="4" t="s">
        <v>1256</v>
      </c>
      <c r="L117" s="4" t="s">
        <v>8</v>
      </c>
      <c r="M117" s="4" t="s">
        <v>59</v>
      </c>
      <c r="N117" s="4" t="s">
        <v>60</v>
      </c>
      <c r="O117" s="4" t="s">
        <v>1257</v>
      </c>
      <c r="P117" s="4" t="s">
        <v>1258</v>
      </c>
      <c r="Q117" s="4" t="s">
        <v>80</v>
      </c>
      <c r="R117" s="4" t="s">
        <v>1259</v>
      </c>
      <c r="S117" s="4" t="s">
        <v>65</v>
      </c>
      <c r="T117" s="4" t="s">
        <v>1260</v>
      </c>
      <c r="U117" s="4" t="s">
        <v>82</v>
      </c>
      <c r="V117" s="4" t="s">
        <v>97</v>
      </c>
      <c r="W117" s="4" t="s">
        <v>773</v>
      </c>
      <c r="X117" s="4" t="s">
        <v>70</v>
      </c>
      <c r="Y117" s="4"/>
    </row>
    <row r="118" spans="1:25" ht="54.7">
      <c r="A118" s="4" t="s">
        <v>1261</v>
      </c>
      <c r="B118" s="4" t="s">
        <v>1215</v>
      </c>
      <c r="C118" s="4" t="s">
        <v>1216</v>
      </c>
      <c r="D118" s="4" t="s">
        <v>1262</v>
      </c>
      <c r="E118" s="4" t="s">
        <v>1263</v>
      </c>
      <c r="F118" s="4" t="s">
        <v>74</v>
      </c>
      <c r="G118" s="4" t="s">
        <v>102</v>
      </c>
      <c r="H118" s="4" t="s">
        <v>1264</v>
      </c>
      <c r="I118" s="4" t="s">
        <v>1265</v>
      </c>
      <c r="J118" s="4" t="s">
        <v>1266</v>
      </c>
      <c r="K118" s="4" t="s">
        <v>1267</v>
      </c>
      <c r="L118" s="4" t="s">
        <v>11</v>
      </c>
      <c r="M118" s="4" t="s">
        <v>59</v>
      </c>
      <c r="N118" s="4" t="s">
        <v>60</v>
      </c>
      <c r="O118" s="4" t="s">
        <v>1268</v>
      </c>
      <c r="P118" s="4" t="s">
        <v>974</v>
      </c>
      <c r="Q118" s="4" t="s">
        <v>80</v>
      </c>
      <c r="R118" s="4" t="s">
        <v>1269</v>
      </c>
      <c r="S118" s="4" t="s">
        <v>65</v>
      </c>
      <c r="T118" s="4" t="s">
        <v>1270</v>
      </c>
      <c r="U118" s="4" t="s">
        <v>889</v>
      </c>
      <c r="V118" s="4" t="s">
        <v>97</v>
      </c>
      <c r="W118" s="4" t="s">
        <v>773</v>
      </c>
      <c r="X118" s="4" t="s">
        <v>70</v>
      </c>
      <c r="Y118" s="4"/>
    </row>
    <row r="119" spans="1:25" ht="54.7">
      <c r="A119" s="4" t="s">
        <v>1271</v>
      </c>
      <c r="B119" s="4" t="s">
        <v>1215</v>
      </c>
      <c r="C119" s="4" t="s">
        <v>1216</v>
      </c>
      <c r="D119" s="4" t="s">
        <v>1272</v>
      </c>
      <c r="E119" s="4" t="s">
        <v>1263</v>
      </c>
      <c r="F119" s="4" t="s">
        <v>74</v>
      </c>
      <c r="G119" s="4" t="s">
        <v>102</v>
      </c>
      <c r="H119" s="4" t="s">
        <v>1273</v>
      </c>
      <c r="I119" s="4" t="s">
        <v>1274</v>
      </c>
      <c r="J119" s="4" t="s">
        <v>1275</v>
      </c>
      <c r="K119" s="4" t="s">
        <v>1276</v>
      </c>
      <c r="L119" s="4" t="s">
        <v>8</v>
      </c>
      <c r="M119" s="4" t="s">
        <v>59</v>
      </c>
      <c r="N119" s="4" t="s">
        <v>60</v>
      </c>
      <c r="O119" s="4" t="s">
        <v>1268</v>
      </c>
      <c r="P119" s="4" t="s">
        <v>1277</v>
      </c>
      <c r="Q119" s="4" t="s">
        <v>80</v>
      </c>
      <c r="R119" s="4" t="s">
        <v>1278</v>
      </c>
      <c r="S119" s="4" t="s">
        <v>65</v>
      </c>
      <c r="T119" s="4" t="s">
        <v>1279</v>
      </c>
      <c r="U119" s="4" t="s">
        <v>1280</v>
      </c>
      <c r="V119" s="4" t="s">
        <v>97</v>
      </c>
      <c r="W119" s="4" t="s">
        <v>773</v>
      </c>
      <c r="X119" s="4" t="s">
        <v>70</v>
      </c>
      <c r="Y119" s="4"/>
    </row>
    <row r="120" spans="1:25" ht="54.7">
      <c r="A120" s="4" t="s">
        <v>1281</v>
      </c>
      <c r="B120" s="4" t="s">
        <v>1215</v>
      </c>
      <c r="C120" s="4" t="s">
        <v>1216</v>
      </c>
      <c r="D120" s="4" t="s">
        <v>1282</v>
      </c>
      <c r="E120" s="4" t="s">
        <v>190</v>
      </c>
      <c r="F120" s="4" t="s">
        <v>191</v>
      </c>
      <c r="G120" s="4" t="s">
        <v>128</v>
      </c>
      <c r="H120" s="4" t="s">
        <v>1283</v>
      </c>
      <c r="I120" s="4" t="s">
        <v>1284</v>
      </c>
      <c r="J120" s="4" t="s">
        <v>1285</v>
      </c>
      <c r="K120" s="4" t="s">
        <v>1286</v>
      </c>
      <c r="L120" s="4" t="s">
        <v>11</v>
      </c>
      <c r="M120" s="4" t="s">
        <v>168</v>
      </c>
      <c r="N120" s="4" t="s">
        <v>169</v>
      </c>
      <c r="O120" s="4" t="s">
        <v>1268</v>
      </c>
      <c r="P120" s="4" t="s">
        <v>1287</v>
      </c>
      <c r="Q120" s="4" t="s">
        <v>80</v>
      </c>
      <c r="R120" s="4" t="s">
        <v>1288</v>
      </c>
      <c r="S120" s="4" t="s">
        <v>65</v>
      </c>
      <c r="T120" s="4" t="s">
        <v>1289</v>
      </c>
      <c r="U120" s="4" t="s">
        <v>909</v>
      </c>
      <c r="V120" s="4" t="s">
        <v>97</v>
      </c>
      <c r="W120" s="4" t="s">
        <v>773</v>
      </c>
      <c r="X120" s="4" t="s">
        <v>70</v>
      </c>
      <c r="Y120" s="4"/>
    </row>
    <row r="121" spans="1:25" ht="54.7">
      <c r="A121" s="4" t="s">
        <v>1290</v>
      </c>
      <c r="B121" s="4" t="s">
        <v>1215</v>
      </c>
      <c r="C121" s="4" t="s">
        <v>1216</v>
      </c>
      <c r="D121" s="4" t="s">
        <v>1291</v>
      </c>
      <c r="E121" s="4" t="s">
        <v>190</v>
      </c>
      <c r="F121" s="4" t="s">
        <v>191</v>
      </c>
      <c r="G121" s="4" t="s">
        <v>784</v>
      </c>
      <c r="H121" s="4" t="s">
        <v>1292</v>
      </c>
      <c r="I121" s="4" t="s">
        <v>1293</v>
      </c>
      <c r="J121" s="4" t="s">
        <v>1294</v>
      </c>
      <c r="K121" s="4" t="s">
        <v>1295</v>
      </c>
      <c r="L121" s="4" t="s">
        <v>14</v>
      </c>
      <c r="M121" s="4" t="s">
        <v>168</v>
      </c>
      <c r="N121" s="4" t="s">
        <v>169</v>
      </c>
      <c r="O121" s="4" t="s">
        <v>1296</v>
      </c>
      <c r="P121" s="4" t="s">
        <v>1297</v>
      </c>
      <c r="Q121" s="4" t="s">
        <v>686</v>
      </c>
      <c r="R121" s="4" t="s">
        <v>1298</v>
      </c>
      <c r="S121" s="4" t="s">
        <v>65</v>
      </c>
      <c r="T121" s="4" t="s">
        <v>1048</v>
      </c>
      <c r="U121" s="4" t="s">
        <v>1299</v>
      </c>
      <c r="V121" s="4" t="s">
        <v>138</v>
      </c>
      <c r="W121" s="4" t="s">
        <v>784</v>
      </c>
      <c r="X121" s="4" t="s">
        <v>70</v>
      </c>
      <c r="Y121" s="4"/>
    </row>
    <row r="122" spans="1:25" ht="54.7">
      <c r="A122" s="4" t="s">
        <v>1300</v>
      </c>
      <c r="B122" s="4" t="s">
        <v>1215</v>
      </c>
      <c r="C122" s="4" t="s">
        <v>1216</v>
      </c>
      <c r="D122" s="4" t="s">
        <v>1301</v>
      </c>
      <c r="E122" s="4" t="s">
        <v>190</v>
      </c>
      <c r="F122" s="4" t="s">
        <v>191</v>
      </c>
      <c r="G122" s="4" t="s">
        <v>776</v>
      </c>
      <c r="H122" s="4" t="s">
        <v>1302</v>
      </c>
      <c r="I122" s="4" t="s">
        <v>1303</v>
      </c>
      <c r="J122" s="4" t="s">
        <v>1304</v>
      </c>
      <c r="K122" s="4" t="s">
        <v>1305</v>
      </c>
      <c r="L122" s="4" t="s">
        <v>14</v>
      </c>
      <c r="M122" s="4" t="s">
        <v>168</v>
      </c>
      <c r="N122" s="4" t="s">
        <v>169</v>
      </c>
      <c r="O122" s="4" t="s">
        <v>1306</v>
      </c>
      <c r="P122" s="4" t="s">
        <v>1307</v>
      </c>
      <c r="Q122" s="4" t="s">
        <v>686</v>
      </c>
      <c r="R122" s="4" t="s">
        <v>1308</v>
      </c>
      <c r="S122" s="4" t="s">
        <v>65</v>
      </c>
      <c r="T122" s="4" t="s">
        <v>1309</v>
      </c>
      <c r="U122" s="4" t="s">
        <v>1310</v>
      </c>
      <c r="V122" s="4" t="s">
        <v>97</v>
      </c>
      <c r="W122" s="4" t="s">
        <v>773</v>
      </c>
      <c r="X122" s="4" t="s">
        <v>70</v>
      </c>
      <c r="Y122" s="4"/>
    </row>
    <row r="123" spans="1:25" ht="54.7">
      <c r="A123" s="4" t="s">
        <v>1311</v>
      </c>
      <c r="B123" s="4" t="s">
        <v>1312</v>
      </c>
      <c r="C123" s="4" t="s">
        <v>1313</v>
      </c>
      <c r="D123" s="4" t="s">
        <v>1314</v>
      </c>
      <c r="E123" s="4" t="s">
        <v>52</v>
      </c>
      <c r="F123" s="4" t="s">
        <v>53</v>
      </c>
      <c r="G123" s="4" t="s">
        <v>102</v>
      </c>
      <c r="H123" s="4" t="s">
        <v>1315</v>
      </c>
      <c r="I123" s="4" t="s">
        <v>1316</v>
      </c>
      <c r="J123" s="4" t="s">
        <v>1317</v>
      </c>
      <c r="K123" s="4" t="s">
        <v>1318</v>
      </c>
      <c r="L123" s="4" t="s">
        <v>8</v>
      </c>
      <c r="M123" s="4" t="s">
        <v>59</v>
      </c>
      <c r="N123" s="4" t="s">
        <v>60</v>
      </c>
      <c r="O123" s="4" t="s">
        <v>1319</v>
      </c>
      <c r="P123" s="4" t="s">
        <v>1320</v>
      </c>
      <c r="Q123" s="4" t="s">
        <v>806</v>
      </c>
      <c r="R123" s="4" t="s">
        <v>1321</v>
      </c>
      <c r="S123" s="4" t="s">
        <v>65</v>
      </c>
      <c r="T123" s="4" t="s">
        <v>1322</v>
      </c>
      <c r="U123" s="4" t="s">
        <v>1323</v>
      </c>
      <c r="V123" s="4" t="s">
        <v>201</v>
      </c>
      <c r="W123" s="4" t="s">
        <v>69</v>
      </c>
      <c r="X123" s="4" t="s">
        <v>70</v>
      </c>
      <c r="Y123" s="4"/>
    </row>
    <row r="124" spans="1:25" ht="54.7">
      <c r="A124" s="4" t="s">
        <v>1324</v>
      </c>
      <c r="B124" s="4" t="s">
        <v>1312</v>
      </c>
      <c r="C124" s="4" t="s">
        <v>1313</v>
      </c>
      <c r="D124" s="4" t="s">
        <v>1325</v>
      </c>
      <c r="E124" s="4" t="s">
        <v>73</v>
      </c>
      <c r="F124" s="4" t="s">
        <v>74</v>
      </c>
      <c r="G124" s="4" t="s">
        <v>102</v>
      </c>
      <c r="H124" s="4" t="s">
        <v>1326</v>
      </c>
      <c r="I124" s="4" t="s">
        <v>1327</v>
      </c>
      <c r="J124" s="4" t="s">
        <v>1328</v>
      </c>
      <c r="K124" s="4" t="s">
        <v>1329</v>
      </c>
      <c r="L124" s="4" t="s">
        <v>8</v>
      </c>
      <c r="M124" s="4" t="s">
        <v>59</v>
      </c>
      <c r="N124" s="4" t="s">
        <v>60</v>
      </c>
      <c r="O124" s="4" t="s">
        <v>1330</v>
      </c>
      <c r="P124" s="4" t="s">
        <v>1320</v>
      </c>
      <c r="Q124" s="4" t="s">
        <v>80</v>
      </c>
      <c r="R124" s="4" t="s">
        <v>1331</v>
      </c>
      <c r="S124" s="4" t="s">
        <v>65</v>
      </c>
      <c r="T124" s="4" t="s">
        <v>1322</v>
      </c>
      <c r="U124" s="4" t="s">
        <v>1323</v>
      </c>
      <c r="V124" s="4" t="s">
        <v>138</v>
      </c>
      <c r="W124" s="4" t="s">
        <v>69</v>
      </c>
      <c r="X124" s="4" t="s">
        <v>70</v>
      </c>
      <c r="Y124" s="4"/>
    </row>
    <row r="125" spans="1:25" ht="54.7">
      <c r="A125" s="4" t="s">
        <v>1332</v>
      </c>
      <c r="B125" s="4" t="s">
        <v>1312</v>
      </c>
      <c r="C125" s="4" t="s">
        <v>1313</v>
      </c>
      <c r="D125" s="4" t="s">
        <v>1333</v>
      </c>
      <c r="E125" s="4" t="s">
        <v>1334</v>
      </c>
      <c r="F125" s="4" t="s">
        <v>115</v>
      </c>
      <c r="G125" s="4" t="s">
        <v>102</v>
      </c>
      <c r="H125" s="4" t="s">
        <v>1335</v>
      </c>
      <c r="I125" s="4" t="s">
        <v>1336</v>
      </c>
      <c r="J125" s="4" t="s">
        <v>1337</v>
      </c>
      <c r="K125" s="4" t="s">
        <v>1338</v>
      </c>
      <c r="L125" s="4" t="s">
        <v>11</v>
      </c>
      <c r="M125" s="4" t="s">
        <v>59</v>
      </c>
      <c r="N125" s="4" t="s">
        <v>60</v>
      </c>
      <c r="O125" s="4" t="s">
        <v>1320</v>
      </c>
      <c r="P125" s="4" t="s">
        <v>1320</v>
      </c>
      <c r="Q125" s="4" t="s">
        <v>80</v>
      </c>
      <c r="R125" s="4" t="s">
        <v>1339</v>
      </c>
      <c r="S125" s="4" t="s">
        <v>65</v>
      </c>
      <c r="T125" s="4" t="s">
        <v>1340</v>
      </c>
      <c r="U125" s="4" t="s">
        <v>1015</v>
      </c>
      <c r="V125" s="4" t="s">
        <v>138</v>
      </c>
      <c r="W125" s="4" t="s">
        <v>69</v>
      </c>
      <c r="X125" s="4" t="s">
        <v>70</v>
      </c>
      <c r="Y125" s="4"/>
    </row>
    <row r="126" spans="1:25" ht="54.7">
      <c r="A126" s="4" t="s">
        <v>1341</v>
      </c>
      <c r="B126" s="4" t="s">
        <v>1312</v>
      </c>
      <c r="C126" s="4" t="s">
        <v>1313</v>
      </c>
      <c r="D126" s="4" t="s">
        <v>1342</v>
      </c>
      <c r="E126" s="4" t="s">
        <v>1334</v>
      </c>
      <c r="F126" s="4" t="s">
        <v>115</v>
      </c>
      <c r="G126" s="4" t="s">
        <v>102</v>
      </c>
      <c r="H126" s="4" t="s">
        <v>1343</v>
      </c>
      <c r="I126" s="4" t="s">
        <v>1344</v>
      </c>
      <c r="J126" s="4" t="s">
        <v>1345</v>
      </c>
      <c r="K126" s="4" t="s">
        <v>1346</v>
      </c>
      <c r="L126" s="4" t="s">
        <v>11</v>
      </c>
      <c r="M126" s="4" t="s">
        <v>168</v>
      </c>
      <c r="N126" s="4" t="s">
        <v>169</v>
      </c>
      <c r="O126" s="4" t="s">
        <v>1320</v>
      </c>
      <c r="P126" s="4" t="s">
        <v>1347</v>
      </c>
      <c r="Q126" s="4" t="s">
        <v>80</v>
      </c>
      <c r="R126" s="4" t="s">
        <v>1348</v>
      </c>
      <c r="S126" s="4" t="s">
        <v>65</v>
      </c>
      <c r="T126" s="4" t="s">
        <v>888</v>
      </c>
      <c r="U126" s="4" t="s">
        <v>889</v>
      </c>
      <c r="V126" s="4" t="s">
        <v>138</v>
      </c>
      <c r="W126" s="4" t="s">
        <v>69</v>
      </c>
      <c r="X126" s="4" t="s">
        <v>70</v>
      </c>
      <c r="Y126" s="4"/>
    </row>
    <row r="127" spans="1:25" ht="54.7">
      <c r="A127" s="4" t="s">
        <v>1349</v>
      </c>
      <c r="B127" s="4" t="s">
        <v>1312</v>
      </c>
      <c r="C127" s="4" t="s">
        <v>1313</v>
      </c>
      <c r="D127" s="4" t="s">
        <v>975</v>
      </c>
      <c r="E127" s="4" t="s">
        <v>114</v>
      </c>
      <c r="F127" s="4" t="s">
        <v>115</v>
      </c>
      <c r="G127" s="4" t="s">
        <v>102</v>
      </c>
      <c r="H127" s="4" t="s">
        <v>1350</v>
      </c>
      <c r="I127" s="4" t="s">
        <v>1351</v>
      </c>
      <c r="J127" s="4" t="s">
        <v>1352</v>
      </c>
      <c r="K127" s="4" t="s">
        <v>1353</v>
      </c>
      <c r="L127" s="4" t="s">
        <v>11</v>
      </c>
      <c r="M127" s="4" t="s">
        <v>59</v>
      </c>
      <c r="N127" s="4" t="s">
        <v>60</v>
      </c>
      <c r="O127" s="4" t="s">
        <v>1354</v>
      </c>
      <c r="P127" s="4" t="s">
        <v>1355</v>
      </c>
      <c r="Q127" s="4" t="s">
        <v>63</v>
      </c>
      <c r="R127" s="4" t="s">
        <v>1356</v>
      </c>
      <c r="S127" s="4" t="s">
        <v>65</v>
      </c>
      <c r="T127" s="4" t="s">
        <v>1357</v>
      </c>
      <c r="U127" s="4" t="s">
        <v>1358</v>
      </c>
      <c r="V127" s="4" t="s">
        <v>138</v>
      </c>
      <c r="W127" s="4" t="s">
        <v>69</v>
      </c>
      <c r="X127" s="4" t="s">
        <v>70</v>
      </c>
      <c r="Y127" s="4"/>
    </row>
    <row r="128" spans="1:25" ht="54.7">
      <c r="A128" s="4" t="s">
        <v>1359</v>
      </c>
      <c r="B128" s="4" t="s">
        <v>1312</v>
      </c>
      <c r="C128" s="4" t="s">
        <v>1313</v>
      </c>
      <c r="D128" s="4" t="s">
        <v>1360</v>
      </c>
      <c r="E128" s="4" t="s">
        <v>114</v>
      </c>
      <c r="F128" s="4" t="s">
        <v>115</v>
      </c>
      <c r="G128" s="4" t="s">
        <v>853</v>
      </c>
      <c r="H128" s="4" t="s">
        <v>1361</v>
      </c>
      <c r="I128" s="4" t="s">
        <v>1362</v>
      </c>
      <c r="J128" s="4" t="s">
        <v>1363</v>
      </c>
      <c r="K128" s="4" t="s">
        <v>1364</v>
      </c>
      <c r="L128" s="4" t="s">
        <v>11</v>
      </c>
      <c r="M128" s="4" t="s">
        <v>168</v>
      </c>
      <c r="N128" s="4" t="s">
        <v>169</v>
      </c>
      <c r="O128" s="4" t="s">
        <v>1354</v>
      </c>
      <c r="P128" s="4" t="s">
        <v>1181</v>
      </c>
      <c r="Q128" s="4" t="s">
        <v>63</v>
      </c>
      <c r="R128" s="4" t="s">
        <v>1356</v>
      </c>
      <c r="S128" s="4" t="s">
        <v>65</v>
      </c>
      <c r="T128" s="4" t="s">
        <v>1365</v>
      </c>
      <c r="U128" s="4" t="s">
        <v>1358</v>
      </c>
      <c r="V128" s="4" t="s">
        <v>138</v>
      </c>
      <c r="W128" s="4" t="s">
        <v>69</v>
      </c>
      <c r="X128" s="4" t="s">
        <v>70</v>
      </c>
      <c r="Y128" s="4"/>
    </row>
    <row r="129" spans="1:25" ht="54.7">
      <c r="A129" s="4" t="s">
        <v>1366</v>
      </c>
      <c r="B129" s="4" t="s">
        <v>1312</v>
      </c>
      <c r="C129" s="4" t="s">
        <v>1313</v>
      </c>
      <c r="D129" s="4" t="s">
        <v>1367</v>
      </c>
      <c r="E129" s="4" t="s">
        <v>73</v>
      </c>
      <c r="F129" s="4" t="s">
        <v>74</v>
      </c>
      <c r="G129" s="4" t="s">
        <v>853</v>
      </c>
      <c r="H129" s="4" t="s">
        <v>1368</v>
      </c>
      <c r="I129" s="4" t="s">
        <v>1369</v>
      </c>
      <c r="J129" s="4" t="s">
        <v>1370</v>
      </c>
      <c r="K129" s="4" t="s">
        <v>1371</v>
      </c>
      <c r="L129" s="4" t="s">
        <v>8</v>
      </c>
      <c r="M129" s="4" t="s">
        <v>59</v>
      </c>
      <c r="N129" s="4" t="s">
        <v>60</v>
      </c>
      <c r="O129" s="4" t="s">
        <v>1372</v>
      </c>
      <c r="P129" s="4" t="s">
        <v>1373</v>
      </c>
      <c r="Q129" s="4" t="s">
        <v>1374</v>
      </c>
      <c r="R129" s="4" t="s">
        <v>1375</v>
      </c>
      <c r="S129" s="4" t="s">
        <v>65</v>
      </c>
      <c r="T129" s="4" t="s">
        <v>1376</v>
      </c>
      <c r="U129" s="4" t="s">
        <v>1377</v>
      </c>
      <c r="V129" s="4" t="s">
        <v>97</v>
      </c>
      <c r="W129" s="4" t="s">
        <v>69</v>
      </c>
      <c r="X129" s="4" t="s">
        <v>70</v>
      </c>
      <c r="Y129" s="4"/>
    </row>
    <row r="130" spans="1:25" ht="54.7">
      <c r="A130" s="4" t="s">
        <v>1378</v>
      </c>
      <c r="B130" s="4" t="s">
        <v>1312</v>
      </c>
      <c r="C130" s="4" t="s">
        <v>1313</v>
      </c>
      <c r="D130" s="4" t="s">
        <v>1379</v>
      </c>
      <c r="E130" s="4" t="s">
        <v>52</v>
      </c>
      <c r="F130" s="4" t="s">
        <v>53</v>
      </c>
      <c r="G130" s="4" t="s">
        <v>1380</v>
      </c>
      <c r="H130" s="4" t="s">
        <v>1381</v>
      </c>
      <c r="I130" s="4" t="s">
        <v>1382</v>
      </c>
      <c r="J130" s="4" t="s">
        <v>1383</v>
      </c>
      <c r="K130" s="4" t="s">
        <v>1384</v>
      </c>
      <c r="L130" s="4" t="s">
        <v>11</v>
      </c>
      <c r="M130" s="4" t="s">
        <v>59</v>
      </c>
      <c r="N130" s="4" t="s">
        <v>60</v>
      </c>
      <c r="O130" s="4" t="s">
        <v>1385</v>
      </c>
      <c r="P130" s="4" t="s">
        <v>1373</v>
      </c>
      <c r="Q130" s="4" t="s">
        <v>1374</v>
      </c>
      <c r="R130" s="4" t="s">
        <v>1386</v>
      </c>
      <c r="S130" s="4" t="s">
        <v>65</v>
      </c>
      <c r="T130" s="4" t="s">
        <v>1376</v>
      </c>
      <c r="U130" s="4" t="s">
        <v>1387</v>
      </c>
      <c r="V130" s="4" t="s">
        <v>97</v>
      </c>
      <c r="W130" s="4" t="s">
        <v>69</v>
      </c>
      <c r="X130" s="4" t="s">
        <v>70</v>
      </c>
      <c r="Y130" s="4"/>
    </row>
    <row r="131" spans="1:25" ht="54.7">
      <c r="A131" s="4" t="s">
        <v>1388</v>
      </c>
      <c r="B131" s="4" t="s">
        <v>1312</v>
      </c>
      <c r="C131" s="4" t="s">
        <v>1313</v>
      </c>
      <c r="D131" s="4" t="s">
        <v>1389</v>
      </c>
      <c r="E131" s="4" t="s">
        <v>52</v>
      </c>
      <c r="F131" s="4" t="s">
        <v>53</v>
      </c>
      <c r="G131" s="4" t="s">
        <v>102</v>
      </c>
      <c r="H131" s="4" t="s">
        <v>1390</v>
      </c>
      <c r="I131" s="4" t="s">
        <v>1391</v>
      </c>
      <c r="J131" s="4" t="s">
        <v>1392</v>
      </c>
      <c r="K131" s="4" t="s">
        <v>1393</v>
      </c>
      <c r="L131" s="4" t="s">
        <v>14</v>
      </c>
      <c r="M131" s="4" t="s">
        <v>168</v>
      </c>
      <c r="N131" s="4" t="s">
        <v>169</v>
      </c>
      <c r="O131" s="4" t="s">
        <v>1394</v>
      </c>
      <c r="P131" s="4" t="s">
        <v>1395</v>
      </c>
      <c r="Q131" s="4" t="s">
        <v>1396</v>
      </c>
      <c r="R131" s="4" t="s">
        <v>1397</v>
      </c>
      <c r="S131" s="4" t="s">
        <v>65</v>
      </c>
      <c r="T131" s="4" t="s">
        <v>1085</v>
      </c>
      <c r="U131" s="4" t="s">
        <v>1086</v>
      </c>
      <c r="V131" s="4" t="s">
        <v>97</v>
      </c>
      <c r="W131" s="4" t="s">
        <v>69</v>
      </c>
      <c r="X131" s="4" t="s">
        <v>70</v>
      </c>
      <c r="Y131" s="4"/>
    </row>
    <row r="132" spans="1:25" ht="54.7">
      <c r="A132" s="4" t="s">
        <v>1398</v>
      </c>
      <c r="B132" s="4" t="s">
        <v>1312</v>
      </c>
      <c r="C132" s="4" t="s">
        <v>1313</v>
      </c>
      <c r="D132" s="4" t="s">
        <v>1399</v>
      </c>
      <c r="E132" s="4" t="s">
        <v>190</v>
      </c>
      <c r="F132" s="4" t="s">
        <v>191</v>
      </c>
      <c r="G132" s="4" t="s">
        <v>776</v>
      </c>
      <c r="H132" s="4" t="s">
        <v>1400</v>
      </c>
      <c r="I132" s="4" t="s">
        <v>1401</v>
      </c>
      <c r="J132" s="4" t="s">
        <v>1402</v>
      </c>
      <c r="K132" s="4" t="s">
        <v>1403</v>
      </c>
      <c r="L132" s="4" t="s">
        <v>14</v>
      </c>
      <c r="M132" s="4" t="s">
        <v>168</v>
      </c>
      <c r="N132" s="4" t="s">
        <v>169</v>
      </c>
      <c r="O132" s="4" t="s">
        <v>1319</v>
      </c>
      <c r="P132" s="4" t="s">
        <v>650</v>
      </c>
      <c r="Q132" s="4" t="s">
        <v>80</v>
      </c>
      <c r="R132" s="4" t="s">
        <v>652</v>
      </c>
      <c r="S132" s="4" t="s">
        <v>65</v>
      </c>
      <c r="T132" s="4" t="s">
        <v>1404</v>
      </c>
      <c r="U132" s="4" t="s">
        <v>1405</v>
      </c>
      <c r="V132" s="4" t="s">
        <v>97</v>
      </c>
      <c r="W132" s="4" t="s">
        <v>69</v>
      </c>
      <c r="X132" s="4" t="s">
        <v>70</v>
      </c>
      <c r="Y132" s="4"/>
    </row>
    <row r="133" spans="1:25" ht="54.7">
      <c r="A133" s="4" t="s">
        <v>1406</v>
      </c>
      <c r="B133" s="4" t="s">
        <v>1312</v>
      </c>
      <c r="C133" s="4" t="s">
        <v>1313</v>
      </c>
      <c r="D133" s="4" t="s">
        <v>1407</v>
      </c>
      <c r="E133" s="4" t="s">
        <v>141</v>
      </c>
      <c r="F133" s="4" t="s">
        <v>142</v>
      </c>
      <c r="G133" s="4" t="s">
        <v>178</v>
      </c>
      <c r="H133" s="4" t="s">
        <v>1408</v>
      </c>
      <c r="I133" s="4" t="s">
        <v>1409</v>
      </c>
      <c r="J133" s="4" t="s">
        <v>1410</v>
      </c>
      <c r="K133" s="4" t="s">
        <v>1411</v>
      </c>
      <c r="L133" s="4" t="s">
        <v>8</v>
      </c>
      <c r="M133" s="4" t="s">
        <v>59</v>
      </c>
      <c r="N133" s="4" t="s">
        <v>60</v>
      </c>
      <c r="O133" s="4" t="s">
        <v>1330</v>
      </c>
      <c r="P133" s="4" t="s">
        <v>1412</v>
      </c>
      <c r="Q133" s="4" t="s">
        <v>80</v>
      </c>
      <c r="R133" s="4" t="s">
        <v>1413</v>
      </c>
      <c r="S133" s="4" t="s">
        <v>65</v>
      </c>
      <c r="T133" s="4" t="s">
        <v>1414</v>
      </c>
      <c r="U133" s="4" t="s">
        <v>1415</v>
      </c>
      <c r="V133" s="4" t="s">
        <v>138</v>
      </c>
      <c r="W133" s="4" t="s">
        <v>142</v>
      </c>
      <c r="X133" s="4" t="s">
        <v>70</v>
      </c>
      <c r="Y133" s="4"/>
    </row>
    <row r="134" spans="1:25" ht="54.7">
      <c r="A134" s="4" t="s">
        <v>1416</v>
      </c>
      <c r="B134" s="4" t="s">
        <v>1312</v>
      </c>
      <c r="C134" s="4" t="s">
        <v>1313</v>
      </c>
      <c r="D134" s="4" t="s">
        <v>1417</v>
      </c>
      <c r="E134" s="4" t="s">
        <v>1203</v>
      </c>
      <c r="F134" s="4" t="s">
        <v>127</v>
      </c>
      <c r="G134" s="4" t="s">
        <v>115</v>
      </c>
      <c r="H134" s="4" t="s">
        <v>1418</v>
      </c>
      <c r="I134" s="4" t="s">
        <v>1419</v>
      </c>
      <c r="J134" s="4" t="s">
        <v>1420</v>
      </c>
      <c r="K134" s="4" t="s">
        <v>1421</v>
      </c>
      <c r="L134" s="4" t="s">
        <v>11</v>
      </c>
      <c r="M134" s="4" t="s">
        <v>59</v>
      </c>
      <c r="N134" s="4" t="s">
        <v>60</v>
      </c>
      <c r="O134" s="4" t="s">
        <v>1319</v>
      </c>
      <c r="P134" s="4" t="s">
        <v>1422</v>
      </c>
      <c r="Q134" s="4" t="s">
        <v>80</v>
      </c>
      <c r="R134" s="4" t="s">
        <v>1423</v>
      </c>
      <c r="S134" s="4" t="s">
        <v>127</v>
      </c>
      <c r="T134" s="4" t="s">
        <v>1424</v>
      </c>
      <c r="U134" s="4" t="s">
        <v>1213</v>
      </c>
      <c r="V134" s="4" t="s">
        <v>138</v>
      </c>
      <c r="W134" s="4" t="s">
        <v>142</v>
      </c>
      <c r="X134" s="4" t="s">
        <v>70</v>
      </c>
      <c r="Y134" s="4"/>
    </row>
    <row r="135" spans="1:25" ht="54.7">
      <c r="A135" s="4" t="s">
        <v>1425</v>
      </c>
      <c r="B135" s="4" t="s">
        <v>1426</v>
      </c>
      <c r="C135" s="4" t="s">
        <v>1427</v>
      </c>
      <c r="D135" s="4" t="s">
        <v>1428</v>
      </c>
      <c r="E135" s="4" t="s">
        <v>190</v>
      </c>
      <c r="F135" s="4" t="s">
        <v>191</v>
      </c>
      <c r="G135" s="4" t="s">
        <v>776</v>
      </c>
      <c r="H135" s="4" t="s">
        <v>1429</v>
      </c>
      <c r="I135" s="4" t="s">
        <v>1430</v>
      </c>
      <c r="J135" s="4" t="s">
        <v>1431</v>
      </c>
      <c r="K135" s="4" t="s">
        <v>1432</v>
      </c>
      <c r="L135" s="4" t="s">
        <v>8</v>
      </c>
      <c r="M135" s="4" t="s">
        <v>59</v>
      </c>
      <c r="N135" s="4" t="s">
        <v>60</v>
      </c>
      <c r="O135" s="4" t="s">
        <v>1433</v>
      </c>
      <c r="P135" s="4" t="s">
        <v>1434</v>
      </c>
      <c r="Q135" s="4" t="s">
        <v>686</v>
      </c>
      <c r="R135" s="4" t="s">
        <v>1435</v>
      </c>
      <c r="S135" s="4" t="s">
        <v>65</v>
      </c>
      <c r="T135" s="4" t="s">
        <v>564</v>
      </c>
      <c r="U135" s="4" t="s">
        <v>586</v>
      </c>
      <c r="V135" s="4" t="s">
        <v>214</v>
      </c>
      <c r="W135" s="4" t="s">
        <v>69</v>
      </c>
      <c r="X135" s="4" t="s">
        <v>70</v>
      </c>
      <c r="Y135" s="4"/>
    </row>
    <row r="136" spans="1:25" ht="54.7">
      <c r="A136" s="4" t="s">
        <v>1436</v>
      </c>
      <c r="B136" s="4" t="s">
        <v>1426</v>
      </c>
      <c r="C136" s="4" t="s">
        <v>1427</v>
      </c>
      <c r="D136" s="4" t="s">
        <v>1437</v>
      </c>
      <c r="E136" s="4" t="s">
        <v>190</v>
      </c>
      <c r="F136" s="4" t="s">
        <v>191</v>
      </c>
      <c r="G136" s="4" t="s">
        <v>776</v>
      </c>
      <c r="H136" s="4" t="s">
        <v>1438</v>
      </c>
      <c r="I136" s="4" t="s">
        <v>1439</v>
      </c>
      <c r="J136" s="4" t="s">
        <v>1440</v>
      </c>
      <c r="K136" s="4" t="s">
        <v>1441</v>
      </c>
      <c r="L136" s="4" t="s">
        <v>11</v>
      </c>
      <c r="M136" s="4" t="s">
        <v>59</v>
      </c>
      <c r="N136" s="4" t="s">
        <v>60</v>
      </c>
      <c r="O136" s="4" t="s">
        <v>1442</v>
      </c>
      <c r="P136" s="4" t="s">
        <v>1443</v>
      </c>
      <c r="Q136" s="4" t="s">
        <v>686</v>
      </c>
      <c r="R136" s="4" t="s">
        <v>1308</v>
      </c>
      <c r="S136" s="4" t="s">
        <v>65</v>
      </c>
      <c r="T136" s="4" t="s">
        <v>1444</v>
      </c>
      <c r="U136" s="4" t="s">
        <v>1433</v>
      </c>
      <c r="V136" s="4" t="s">
        <v>214</v>
      </c>
      <c r="W136" s="4" t="s">
        <v>69</v>
      </c>
      <c r="X136" s="4" t="s">
        <v>70</v>
      </c>
      <c r="Y136" s="4"/>
    </row>
    <row r="137" spans="1:25" ht="54.7">
      <c r="A137" s="4" t="s">
        <v>1445</v>
      </c>
      <c r="B137" s="4" t="s">
        <v>1426</v>
      </c>
      <c r="C137" s="4" t="s">
        <v>1427</v>
      </c>
      <c r="D137" s="4" t="s">
        <v>1446</v>
      </c>
      <c r="E137" s="4" t="s">
        <v>190</v>
      </c>
      <c r="F137" s="4" t="s">
        <v>191</v>
      </c>
      <c r="G137" s="4" t="s">
        <v>776</v>
      </c>
      <c r="H137" s="4" t="s">
        <v>1447</v>
      </c>
      <c r="I137" s="4" t="s">
        <v>1448</v>
      </c>
      <c r="J137" s="4" t="s">
        <v>1449</v>
      </c>
      <c r="K137" s="4" t="s">
        <v>1450</v>
      </c>
      <c r="L137" s="4" t="s">
        <v>8</v>
      </c>
      <c r="M137" s="4" t="s">
        <v>59</v>
      </c>
      <c r="N137" s="4" t="s">
        <v>60</v>
      </c>
      <c r="O137" s="4" t="s">
        <v>1451</v>
      </c>
      <c r="P137" s="4" t="s">
        <v>1452</v>
      </c>
      <c r="Q137" s="4" t="s">
        <v>1453</v>
      </c>
      <c r="R137" s="4" t="s">
        <v>1454</v>
      </c>
      <c r="S137" s="4" t="s">
        <v>65</v>
      </c>
      <c r="T137" s="4" t="s">
        <v>1455</v>
      </c>
      <c r="U137" s="4" t="s">
        <v>1433</v>
      </c>
      <c r="V137" s="4" t="s">
        <v>201</v>
      </c>
      <c r="W137" s="4" t="s">
        <v>69</v>
      </c>
      <c r="X137" s="4" t="s">
        <v>70</v>
      </c>
      <c r="Y137" s="4"/>
    </row>
    <row r="138" spans="1:25" ht="54.7">
      <c r="A138" s="4" t="s">
        <v>1456</v>
      </c>
      <c r="B138" s="4" t="s">
        <v>1426</v>
      </c>
      <c r="C138" s="4" t="s">
        <v>1427</v>
      </c>
      <c r="D138" s="4" t="s">
        <v>1457</v>
      </c>
      <c r="E138" s="4" t="s">
        <v>190</v>
      </c>
      <c r="F138" s="4" t="s">
        <v>191</v>
      </c>
      <c r="G138" s="4" t="s">
        <v>1174</v>
      </c>
      <c r="H138" s="4" t="s">
        <v>1458</v>
      </c>
      <c r="I138" s="4" t="s">
        <v>1459</v>
      </c>
      <c r="J138" s="4" t="s">
        <v>1460</v>
      </c>
      <c r="K138" s="4" t="s">
        <v>1461</v>
      </c>
      <c r="L138" s="4" t="s">
        <v>8</v>
      </c>
      <c r="M138" s="4" t="s">
        <v>59</v>
      </c>
      <c r="N138" s="4" t="s">
        <v>60</v>
      </c>
      <c r="O138" s="4" t="s">
        <v>1462</v>
      </c>
      <c r="P138" s="4" t="s">
        <v>974</v>
      </c>
      <c r="Q138" s="4" t="s">
        <v>80</v>
      </c>
      <c r="R138" s="4" t="s">
        <v>1180</v>
      </c>
      <c r="S138" s="4" t="s">
        <v>65</v>
      </c>
      <c r="T138" s="4" t="s">
        <v>1463</v>
      </c>
      <c r="U138" s="4" t="s">
        <v>909</v>
      </c>
      <c r="V138" s="4" t="s">
        <v>655</v>
      </c>
      <c r="W138" s="4" t="s">
        <v>773</v>
      </c>
      <c r="X138" s="4" t="s">
        <v>70</v>
      </c>
      <c r="Y138" s="4"/>
    </row>
    <row r="139" spans="1:25" ht="54.7">
      <c r="A139" s="4" t="s">
        <v>1464</v>
      </c>
      <c r="B139" s="4" t="s">
        <v>1426</v>
      </c>
      <c r="C139" s="4" t="s">
        <v>1427</v>
      </c>
      <c r="D139" s="4" t="s">
        <v>1465</v>
      </c>
      <c r="E139" s="4" t="s">
        <v>190</v>
      </c>
      <c r="F139" s="4" t="s">
        <v>191</v>
      </c>
      <c r="G139" s="4" t="s">
        <v>776</v>
      </c>
      <c r="H139" s="4" t="s">
        <v>1466</v>
      </c>
      <c r="I139" s="4" t="s">
        <v>1467</v>
      </c>
      <c r="J139" s="4" t="s">
        <v>1468</v>
      </c>
      <c r="K139" s="4" t="s">
        <v>1469</v>
      </c>
      <c r="L139" s="4" t="s">
        <v>8</v>
      </c>
      <c r="M139" s="4" t="s">
        <v>59</v>
      </c>
      <c r="N139" s="4" t="s">
        <v>60</v>
      </c>
      <c r="O139" s="4" t="s">
        <v>1470</v>
      </c>
      <c r="P139" s="4" t="s">
        <v>1471</v>
      </c>
      <c r="Q139" s="4" t="s">
        <v>80</v>
      </c>
      <c r="R139" s="4" t="s">
        <v>1472</v>
      </c>
      <c r="S139" s="4" t="s">
        <v>65</v>
      </c>
      <c r="T139" s="4" t="s">
        <v>1473</v>
      </c>
      <c r="U139" s="4" t="s">
        <v>1474</v>
      </c>
      <c r="V139" s="4" t="s">
        <v>214</v>
      </c>
      <c r="W139" s="4" t="s">
        <v>69</v>
      </c>
      <c r="X139" s="4" t="s">
        <v>70</v>
      </c>
      <c r="Y139" s="4"/>
    </row>
    <row r="140" spans="1:25" ht="54.7">
      <c r="A140" s="4" t="s">
        <v>1475</v>
      </c>
      <c r="B140" s="4" t="s">
        <v>1426</v>
      </c>
      <c r="C140" s="4" t="s">
        <v>1427</v>
      </c>
      <c r="D140" s="4" t="s">
        <v>1476</v>
      </c>
      <c r="E140" s="4" t="s">
        <v>190</v>
      </c>
      <c r="F140" s="4" t="s">
        <v>191</v>
      </c>
      <c r="G140" s="4" t="s">
        <v>776</v>
      </c>
      <c r="H140" s="4" t="s">
        <v>1477</v>
      </c>
      <c r="I140" s="4" t="s">
        <v>1478</v>
      </c>
      <c r="J140" s="4" t="s">
        <v>1479</v>
      </c>
      <c r="K140" s="4" t="s">
        <v>1480</v>
      </c>
      <c r="L140" s="4" t="s">
        <v>8</v>
      </c>
      <c r="M140" s="4" t="s">
        <v>59</v>
      </c>
      <c r="N140" s="4" t="s">
        <v>60</v>
      </c>
      <c r="O140" s="4" t="s">
        <v>1481</v>
      </c>
      <c r="P140" s="4" t="s">
        <v>550</v>
      </c>
      <c r="Q140" s="4" t="s">
        <v>80</v>
      </c>
      <c r="R140" s="4" t="s">
        <v>1482</v>
      </c>
      <c r="S140" s="4" t="s">
        <v>65</v>
      </c>
      <c r="T140" s="4" t="s">
        <v>552</v>
      </c>
      <c r="U140" s="4" t="s">
        <v>1483</v>
      </c>
      <c r="V140" s="4" t="s">
        <v>138</v>
      </c>
      <c r="W140" s="4" t="s">
        <v>784</v>
      </c>
      <c r="X140" s="4" t="s">
        <v>70</v>
      </c>
      <c r="Y140" s="4"/>
    </row>
    <row r="141" spans="1:25" ht="54.7">
      <c r="A141" s="4" t="s">
        <v>1484</v>
      </c>
      <c r="B141" s="4" t="s">
        <v>1426</v>
      </c>
      <c r="C141" s="4" t="s">
        <v>1427</v>
      </c>
      <c r="D141" s="4" t="s">
        <v>1485</v>
      </c>
      <c r="E141" s="4" t="s">
        <v>52</v>
      </c>
      <c r="F141" s="4" t="s">
        <v>53</v>
      </c>
      <c r="G141" s="4" t="s">
        <v>54</v>
      </c>
      <c r="H141" s="4" t="s">
        <v>1486</v>
      </c>
      <c r="I141" s="4" t="s">
        <v>1487</v>
      </c>
      <c r="J141" s="4" t="s">
        <v>1488</v>
      </c>
      <c r="K141" s="4" t="s">
        <v>1489</v>
      </c>
      <c r="L141" s="4" t="s">
        <v>11</v>
      </c>
      <c r="M141" s="4" t="s">
        <v>59</v>
      </c>
      <c r="N141" s="4" t="s">
        <v>60</v>
      </c>
      <c r="O141" s="4" t="s">
        <v>1490</v>
      </c>
      <c r="P141" s="4" t="s">
        <v>550</v>
      </c>
      <c r="Q141" s="4" t="s">
        <v>80</v>
      </c>
      <c r="R141" s="4" t="s">
        <v>1491</v>
      </c>
      <c r="S141" s="4" t="s">
        <v>65</v>
      </c>
      <c r="T141" s="4" t="s">
        <v>552</v>
      </c>
      <c r="U141" s="4" t="s">
        <v>1483</v>
      </c>
      <c r="V141" s="4" t="s">
        <v>138</v>
      </c>
      <c r="W141" s="4" t="s">
        <v>784</v>
      </c>
      <c r="X141" s="4" t="s">
        <v>70</v>
      </c>
      <c r="Y141" s="4"/>
    </row>
    <row r="142" spans="1:25" ht="54.7">
      <c r="A142" s="4" t="s">
        <v>1492</v>
      </c>
      <c r="B142" s="4" t="s">
        <v>1426</v>
      </c>
      <c r="C142" s="4" t="s">
        <v>1427</v>
      </c>
      <c r="D142" s="4" t="s">
        <v>1493</v>
      </c>
      <c r="E142" s="4" t="s">
        <v>190</v>
      </c>
      <c r="F142" s="4" t="s">
        <v>191</v>
      </c>
      <c r="G142" s="4" t="s">
        <v>776</v>
      </c>
      <c r="H142" s="4" t="s">
        <v>1494</v>
      </c>
      <c r="I142" s="4" t="s">
        <v>1495</v>
      </c>
      <c r="J142" s="4" t="s">
        <v>1496</v>
      </c>
      <c r="K142" s="4" t="s">
        <v>1497</v>
      </c>
      <c r="L142" s="4" t="s">
        <v>8</v>
      </c>
      <c r="M142" s="4" t="s">
        <v>59</v>
      </c>
      <c r="N142" s="4" t="s">
        <v>60</v>
      </c>
      <c r="O142" s="4" t="s">
        <v>1498</v>
      </c>
      <c r="P142" s="4" t="s">
        <v>1395</v>
      </c>
      <c r="Q142" s="4" t="s">
        <v>1083</v>
      </c>
      <c r="R142" s="4" t="s">
        <v>1499</v>
      </c>
      <c r="S142" s="4" t="s">
        <v>65</v>
      </c>
      <c r="T142" s="4" t="s">
        <v>1500</v>
      </c>
      <c r="U142" s="4" t="s">
        <v>1086</v>
      </c>
      <c r="V142" s="4" t="s">
        <v>214</v>
      </c>
      <c r="W142" s="4" t="s">
        <v>69</v>
      </c>
      <c r="X142" s="4" t="s">
        <v>70</v>
      </c>
      <c r="Y142" s="4"/>
    </row>
    <row r="143" spans="1:25" ht="54.7">
      <c r="A143" s="4" t="s">
        <v>1501</v>
      </c>
      <c r="B143" s="4" t="s">
        <v>1426</v>
      </c>
      <c r="C143" s="4" t="s">
        <v>1427</v>
      </c>
      <c r="D143" s="4" t="s">
        <v>1502</v>
      </c>
      <c r="E143" s="4" t="s">
        <v>141</v>
      </c>
      <c r="F143" s="4" t="s">
        <v>142</v>
      </c>
      <c r="G143" s="4" t="s">
        <v>178</v>
      </c>
      <c r="H143" s="4" t="s">
        <v>1503</v>
      </c>
      <c r="I143" s="4" t="s">
        <v>1504</v>
      </c>
      <c r="J143" s="4" t="s">
        <v>1505</v>
      </c>
      <c r="K143" s="4" t="s">
        <v>1506</v>
      </c>
      <c r="L143" s="4" t="s">
        <v>8</v>
      </c>
      <c r="M143" s="4" t="s">
        <v>59</v>
      </c>
      <c r="N143" s="4" t="s">
        <v>60</v>
      </c>
      <c r="O143" s="4" t="s">
        <v>1507</v>
      </c>
      <c r="P143" s="4" t="s">
        <v>1508</v>
      </c>
      <c r="Q143" s="4" t="s">
        <v>1509</v>
      </c>
      <c r="R143" s="4" t="s">
        <v>1510</v>
      </c>
      <c r="S143" s="4" t="s">
        <v>65</v>
      </c>
      <c r="T143" s="4" t="s">
        <v>1511</v>
      </c>
      <c r="U143" s="4" t="s">
        <v>226</v>
      </c>
      <c r="V143" s="4" t="s">
        <v>214</v>
      </c>
      <c r="W143" s="4" t="s">
        <v>142</v>
      </c>
      <c r="X143" s="4" t="s">
        <v>70</v>
      </c>
      <c r="Y143" s="4"/>
    </row>
    <row r="144" spans="1:25" ht="54.7">
      <c r="A144" s="4" t="s">
        <v>1512</v>
      </c>
      <c r="B144" s="4" t="s">
        <v>1426</v>
      </c>
      <c r="C144" s="4" t="s">
        <v>1427</v>
      </c>
      <c r="D144" s="4" t="s">
        <v>1513</v>
      </c>
      <c r="E144" s="4" t="s">
        <v>190</v>
      </c>
      <c r="F144" s="4" t="s">
        <v>191</v>
      </c>
      <c r="G144" s="4" t="s">
        <v>776</v>
      </c>
      <c r="H144" s="4" t="s">
        <v>1514</v>
      </c>
      <c r="I144" s="4" t="s">
        <v>1515</v>
      </c>
      <c r="J144" s="4" t="s">
        <v>1516</v>
      </c>
      <c r="K144" s="4" t="s">
        <v>1517</v>
      </c>
      <c r="L144" s="4" t="s">
        <v>11</v>
      </c>
      <c r="M144" s="4" t="s">
        <v>168</v>
      </c>
      <c r="N144" s="4" t="s">
        <v>169</v>
      </c>
      <c r="O144" s="4" t="s">
        <v>1498</v>
      </c>
      <c r="P144" s="4" t="s">
        <v>1518</v>
      </c>
      <c r="Q144" s="4" t="s">
        <v>80</v>
      </c>
      <c r="R144" s="4" t="s">
        <v>1519</v>
      </c>
      <c r="S144" s="4" t="s">
        <v>65</v>
      </c>
      <c r="T144" s="4" t="s">
        <v>564</v>
      </c>
      <c r="U144" s="4" t="s">
        <v>1086</v>
      </c>
      <c r="V144" s="4" t="s">
        <v>97</v>
      </c>
      <c r="W144" s="4" t="s">
        <v>69</v>
      </c>
      <c r="X144" s="4" t="s">
        <v>70</v>
      </c>
      <c r="Y144" s="4"/>
    </row>
    <row r="145" spans="1:25" ht="54.7">
      <c r="A145" s="4" t="s">
        <v>1520</v>
      </c>
      <c r="B145" s="4" t="s">
        <v>1426</v>
      </c>
      <c r="C145" s="4" t="s">
        <v>1427</v>
      </c>
      <c r="D145" s="4" t="s">
        <v>1521</v>
      </c>
      <c r="E145" s="4" t="s">
        <v>141</v>
      </c>
      <c r="F145" s="4" t="s">
        <v>142</v>
      </c>
      <c r="G145" s="4" t="s">
        <v>178</v>
      </c>
      <c r="H145" s="4" t="s">
        <v>1522</v>
      </c>
      <c r="I145" s="4" t="s">
        <v>1523</v>
      </c>
      <c r="J145" s="4" t="s">
        <v>1524</v>
      </c>
      <c r="K145" s="4" t="s">
        <v>1525</v>
      </c>
      <c r="L145" s="4" t="s">
        <v>8</v>
      </c>
      <c r="M145" s="4" t="s">
        <v>1526</v>
      </c>
      <c r="N145" s="4" t="s">
        <v>169</v>
      </c>
      <c r="O145" s="4" t="s">
        <v>1527</v>
      </c>
      <c r="P145" s="4" t="s">
        <v>1502</v>
      </c>
      <c r="Q145" s="4" t="s">
        <v>80</v>
      </c>
      <c r="R145" s="4" t="s">
        <v>1528</v>
      </c>
      <c r="S145" s="4" t="s">
        <v>65</v>
      </c>
      <c r="T145" s="4" t="s">
        <v>1529</v>
      </c>
      <c r="U145" s="4" t="s">
        <v>1530</v>
      </c>
      <c r="V145" s="4" t="s">
        <v>214</v>
      </c>
      <c r="W145" s="4" t="s">
        <v>142</v>
      </c>
      <c r="X145" s="4" t="s">
        <v>70</v>
      </c>
      <c r="Y145" s="4"/>
    </row>
    <row r="146" spans="1:25" ht="54.7">
      <c r="A146" s="4" t="s">
        <v>1531</v>
      </c>
      <c r="B146" s="4" t="s">
        <v>1426</v>
      </c>
      <c r="C146" s="4" t="s">
        <v>1427</v>
      </c>
      <c r="D146" s="4" t="s">
        <v>1532</v>
      </c>
      <c r="E146" s="4" t="s">
        <v>190</v>
      </c>
      <c r="F146" s="4" t="s">
        <v>191</v>
      </c>
      <c r="G146" s="4" t="s">
        <v>776</v>
      </c>
      <c r="H146" s="4" t="s">
        <v>1533</v>
      </c>
      <c r="I146" s="4" t="s">
        <v>1534</v>
      </c>
      <c r="J146" s="4" t="s">
        <v>1535</v>
      </c>
      <c r="K146" s="4" t="s">
        <v>1536</v>
      </c>
      <c r="L146" s="4" t="s">
        <v>11</v>
      </c>
      <c r="M146" s="4" t="s">
        <v>59</v>
      </c>
      <c r="N146" s="4" t="s">
        <v>60</v>
      </c>
      <c r="O146" s="4" t="s">
        <v>1537</v>
      </c>
      <c r="P146" s="4" t="s">
        <v>1538</v>
      </c>
      <c r="Q146" s="4" t="s">
        <v>80</v>
      </c>
      <c r="R146" s="4" t="s">
        <v>605</v>
      </c>
      <c r="S146" s="4" t="s">
        <v>65</v>
      </c>
      <c r="T146" s="4" t="s">
        <v>1539</v>
      </c>
      <c r="U146" s="4" t="s">
        <v>1540</v>
      </c>
      <c r="V146" s="4" t="s">
        <v>97</v>
      </c>
      <c r="W146" s="4" t="s">
        <v>69</v>
      </c>
      <c r="X146" s="4" t="s">
        <v>70</v>
      </c>
      <c r="Y146" s="4"/>
    </row>
    <row r="147" spans="1:25" ht="54.7">
      <c r="A147" s="4" t="s">
        <v>1541</v>
      </c>
      <c r="B147" s="4" t="s">
        <v>1426</v>
      </c>
      <c r="C147" s="4" t="s">
        <v>1427</v>
      </c>
      <c r="D147" s="4" t="s">
        <v>1542</v>
      </c>
      <c r="E147" s="4" t="s">
        <v>190</v>
      </c>
      <c r="F147" s="4" t="s">
        <v>191</v>
      </c>
      <c r="G147" s="4" t="s">
        <v>776</v>
      </c>
      <c r="H147" s="4" t="s">
        <v>1543</v>
      </c>
      <c r="I147" s="4" t="s">
        <v>1544</v>
      </c>
      <c r="J147" s="4" t="s">
        <v>1545</v>
      </c>
      <c r="K147" s="4" t="s">
        <v>1546</v>
      </c>
      <c r="L147" s="4" t="s">
        <v>11</v>
      </c>
      <c r="M147" s="4" t="s">
        <v>168</v>
      </c>
      <c r="N147" s="4" t="s">
        <v>169</v>
      </c>
      <c r="O147" s="4" t="s">
        <v>1433</v>
      </c>
      <c r="P147" s="4" t="s">
        <v>1547</v>
      </c>
      <c r="Q147" s="4" t="s">
        <v>80</v>
      </c>
      <c r="R147" s="4" t="s">
        <v>1548</v>
      </c>
      <c r="S147" s="4" t="s">
        <v>65</v>
      </c>
      <c r="T147" s="4" t="s">
        <v>1549</v>
      </c>
      <c r="U147" s="4" t="s">
        <v>772</v>
      </c>
      <c r="V147" s="4" t="s">
        <v>97</v>
      </c>
      <c r="W147" s="4" t="s">
        <v>773</v>
      </c>
      <c r="X147" s="4" t="s">
        <v>70</v>
      </c>
      <c r="Y147" s="4"/>
    </row>
    <row r="148" spans="1:25" ht="54.7">
      <c r="A148" s="4" t="s">
        <v>1550</v>
      </c>
      <c r="B148" s="4" t="s">
        <v>1426</v>
      </c>
      <c r="C148" s="4" t="s">
        <v>1427</v>
      </c>
      <c r="D148" s="4" t="s">
        <v>1551</v>
      </c>
      <c r="E148" s="4" t="s">
        <v>190</v>
      </c>
      <c r="F148" s="4" t="s">
        <v>191</v>
      </c>
      <c r="G148" s="4" t="s">
        <v>784</v>
      </c>
      <c r="H148" s="4" t="s">
        <v>1552</v>
      </c>
      <c r="I148" s="4" t="s">
        <v>1553</v>
      </c>
      <c r="J148" s="4" t="s">
        <v>1554</v>
      </c>
      <c r="K148" s="4" t="s">
        <v>1555</v>
      </c>
      <c r="L148" s="4" t="s">
        <v>14</v>
      </c>
      <c r="M148" s="4" t="s">
        <v>168</v>
      </c>
      <c r="N148" s="4" t="s">
        <v>169</v>
      </c>
      <c r="O148" s="4" t="s">
        <v>1556</v>
      </c>
      <c r="P148" s="4" t="s">
        <v>1557</v>
      </c>
      <c r="Q148" s="4" t="s">
        <v>80</v>
      </c>
      <c r="R148" s="4" t="s">
        <v>613</v>
      </c>
      <c r="S148" s="4" t="s">
        <v>65</v>
      </c>
      <c r="T148" s="4" t="s">
        <v>1558</v>
      </c>
      <c r="U148" s="4" t="s">
        <v>1559</v>
      </c>
      <c r="V148" s="4" t="s">
        <v>97</v>
      </c>
      <c r="W148" s="4" t="s">
        <v>784</v>
      </c>
      <c r="X148" s="4" t="s">
        <v>70</v>
      </c>
      <c r="Y148" s="4"/>
    </row>
    <row r="149" spans="1:25" ht="54.7">
      <c r="A149" s="4" t="s">
        <v>1560</v>
      </c>
      <c r="B149" s="4" t="s">
        <v>1561</v>
      </c>
      <c r="C149" s="4" t="s">
        <v>1562</v>
      </c>
      <c r="D149" s="4" t="s">
        <v>1563</v>
      </c>
      <c r="E149" s="4" t="s">
        <v>141</v>
      </c>
      <c r="F149" s="4" t="s">
        <v>142</v>
      </c>
      <c r="G149" s="4" t="s">
        <v>178</v>
      </c>
      <c r="H149" s="4" t="s">
        <v>1564</v>
      </c>
      <c r="I149" s="4" t="s">
        <v>1565</v>
      </c>
      <c r="J149" s="4" t="s">
        <v>1566</v>
      </c>
      <c r="K149" s="4" t="s">
        <v>1567</v>
      </c>
      <c r="L149" s="4" t="s">
        <v>8</v>
      </c>
      <c r="M149" s="4" t="s">
        <v>59</v>
      </c>
      <c r="N149" s="4" t="s">
        <v>60</v>
      </c>
      <c r="O149" s="4" t="s">
        <v>1568</v>
      </c>
      <c r="P149" s="4" t="s">
        <v>1569</v>
      </c>
      <c r="Q149" s="4" t="s">
        <v>1570</v>
      </c>
      <c r="R149" s="4" t="s">
        <v>1571</v>
      </c>
      <c r="S149" s="4" t="s">
        <v>65</v>
      </c>
      <c r="T149" s="4" t="s">
        <v>1572</v>
      </c>
      <c r="U149" s="4" t="s">
        <v>950</v>
      </c>
      <c r="V149" s="4" t="s">
        <v>201</v>
      </c>
      <c r="W149" s="4" t="s">
        <v>142</v>
      </c>
      <c r="X149" s="4" t="s">
        <v>70</v>
      </c>
      <c r="Y149" s="4"/>
    </row>
    <row r="150" spans="1:25" ht="54.7">
      <c r="A150" s="4" t="s">
        <v>1573</v>
      </c>
      <c r="B150" s="4" t="s">
        <v>1561</v>
      </c>
      <c r="C150" s="4" t="s">
        <v>1562</v>
      </c>
      <c r="D150" s="4" t="s">
        <v>1574</v>
      </c>
      <c r="E150" s="4" t="s">
        <v>141</v>
      </c>
      <c r="F150" s="4" t="s">
        <v>142</v>
      </c>
      <c r="G150" s="4" t="s">
        <v>178</v>
      </c>
      <c r="H150" s="4" t="s">
        <v>1575</v>
      </c>
      <c r="I150" s="4" t="s">
        <v>1576</v>
      </c>
      <c r="J150" s="4" t="s">
        <v>1577</v>
      </c>
      <c r="K150" s="4" t="s">
        <v>1578</v>
      </c>
      <c r="L150" s="4" t="s">
        <v>8</v>
      </c>
      <c r="M150" s="4" t="s">
        <v>59</v>
      </c>
      <c r="N150" s="4" t="s">
        <v>60</v>
      </c>
      <c r="O150" s="4" t="s">
        <v>1579</v>
      </c>
      <c r="P150" s="4" t="s">
        <v>1580</v>
      </c>
      <c r="Q150" s="4" t="s">
        <v>1570</v>
      </c>
      <c r="R150" s="4" t="s">
        <v>1581</v>
      </c>
      <c r="S150" s="4" t="s">
        <v>65</v>
      </c>
      <c r="T150" s="4" t="s">
        <v>1582</v>
      </c>
      <c r="U150" s="4" t="s">
        <v>1583</v>
      </c>
      <c r="V150" s="4" t="s">
        <v>97</v>
      </c>
      <c r="W150" s="4" t="s">
        <v>142</v>
      </c>
      <c r="X150" s="4" t="s">
        <v>70</v>
      </c>
      <c r="Y150" s="4"/>
    </row>
    <row r="151" spans="1:25" ht="54.7">
      <c r="A151" s="4" t="s">
        <v>1584</v>
      </c>
      <c r="B151" s="4" t="s">
        <v>1561</v>
      </c>
      <c r="C151" s="4" t="s">
        <v>1562</v>
      </c>
      <c r="D151" s="4" t="s">
        <v>1585</v>
      </c>
      <c r="E151" s="4" t="s">
        <v>52</v>
      </c>
      <c r="F151" s="4" t="s">
        <v>53</v>
      </c>
      <c r="G151" s="4" t="s">
        <v>102</v>
      </c>
      <c r="H151" s="4" t="s">
        <v>1586</v>
      </c>
      <c r="I151" s="4" t="s">
        <v>1587</v>
      </c>
      <c r="J151" s="4" t="s">
        <v>1588</v>
      </c>
      <c r="K151" s="4" t="s">
        <v>1589</v>
      </c>
      <c r="L151" s="4" t="s">
        <v>8</v>
      </c>
      <c r="M151" s="4" t="s">
        <v>59</v>
      </c>
      <c r="N151" s="4" t="s">
        <v>60</v>
      </c>
      <c r="O151" s="4" t="s">
        <v>1568</v>
      </c>
      <c r="P151" s="4" t="s">
        <v>1590</v>
      </c>
      <c r="Q151" s="4" t="s">
        <v>63</v>
      </c>
      <c r="R151" s="4" t="s">
        <v>1591</v>
      </c>
      <c r="S151" s="4" t="s">
        <v>65</v>
      </c>
      <c r="T151" s="4" t="s">
        <v>1592</v>
      </c>
      <c r="U151" s="4" t="s">
        <v>1593</v>
      </c>
      <c r="V151" s="4" t="s">
        <v>97</v>
      </c>
      <c r="W151" s="4" t="s">
        <v>142</v>
      </c>
      <c r="X151" s="4" t="s">
        <v>70</v>
      </c>
      <c r="Y151" s="4"/>
    </row>
    <row r="152" spans="1:25" ht="54.7">
      <c r="A152" s="4" t="s">
        <v>1594</v>
      </c>
      <c r="B152" s="4" t="s">
        <v>1561</v>
      </c>
      <c r="C152" s="4" t="s">
        <v>1562</v>
      </c>
      <c r="D152" s="4" t="s">
        <v>1595</v>
      </c>
      <c r="E152" s="4" t="s">
        <v>52</v>
      </c>
      <c r="F152" s="4" t="s">
        <v>53</v>
      </c>
      <c r="G152" s="4" t="s">
        <v>102</v>
      </c>
      <c r="H152" s="4" t="s">
        <v>1596</v>
      </c>
      <c r="I152" s="4" t="s">
        <v>1597</v>
      </c>
      <c r="J152" s="4" t="s">
        <v>1598</v>
      </c>
      <c r="K152" s="4" t="s">
        <v>1599</v>
      </c>
      <c r="L152" s="4" t="s">
        <v>8</v>
      </c>
      <c r="M152" s="4" t="s">
        <v>59</v>
      </c>
      <c r="N152" s="4" t="s">
        <v>60</v>
      </c>
      <c r="O152" s="4" t="s">
        <v>1568</v>
      </c>
      <c r="P152" s="4" t="s">
        <v>1600</v>
      </c>
      <c r="Q152" s="4" t="s">
        <v>1570</v>
      </c>
      <c r="R152" s="4" t="s">
        <v>1601</v>
      </c>
      <c r="S152" s="4" t="s">
        <v>65</v>
      </c>
      <c r="T152" s="4" t="s">
        <v>1602</v>
      </c>
      <c r="U152" s="4" t="s">
        <v>1603</v>
      </c>
      <c r="V152" s="4" t="s">
        <v>214</v>
      </c>
      <c r="W152" s="4" t="s">
        <v>142</v>
      </c>
      <c r="X152" s="4" t="s">
        <v>70</v>
      </c>
      <c r="Y152" s="4"/>
    </row>
    <row r="153" spans="1:25" ht="68.349999999999994">
      <c r="A153" s="4" t="s">
        <v>1604</v>
      </c>
      <c r="B153" s="4" t="s">
        <v>1561</v>
      </c>
      <c r="C153" s="4" t="s">
        <v>1562</v>
      </c>
      <c r="D153" s="4" t="s">
        <v>1605</v>
      </c>
      <c r="E153" s="4" t="s">
        <v>141</v>
      </c>
      <c r="F153" s="4" t="s">
        <v>142</v>
      </c>
      <c r="G153" s="4" t="s">
        <v>128</v>
      </c>
      <c r="H153" s="4" t="s">
        <v>1606</v>
      </c>
      <c r="I153" s="4" t="s">
        <v>1607</v>
      </c>
      <c r="J153" s="4" t="s">
        <v>1608</v>
      </c>
      <c r="K153" s="4" t="s">
        <v>1609</v>
      </c>
      <c r="L153" s="4" t="s">
        <v>8</v>
      </c>
      <c r="M153" s="4" t="s">
        <v>59</v>
      </c>
      <c r="N153" s="4" t="s">
        <v>60</v>
      </c>
      <c r="O153" s="4" t="s">
        <v>1610</v>
      </c>
      <c r="P153" s="4" t="s">
        <v>1611</v>
      </c>
      <c r="Q153" s="4" t="s">
        <v>1612</v>
      </c>
      <c r="R153" s="4" t="s">
        <v>1613</v>
      </c>
      <c r="S153" s="4" t="s">
        <v>65</v>
      </c>
      <c r="T153" s="4" t="s">
        <v>1614</v>
      </c>
      <c r="U153" s="4" t="s">
        <v>226</v>
      </c>
      <c r="V153" s="4" t="s">
        <v>97</v>
      </c>
      <c r="W153" s="4" t="s">
        <v>142</v>
      </c>
      <c r="X153" s="4" t="s">
        <v>70</v>
      </c>
      <c r="Y153" s="4"/>
    </row>
    <row r="154" spans="1:25" ht="54.7">
      <c r="A154" s="4" t="s">
        <v>1615</v>
      </c>
      <c r="B154" s="4" t="s">
        <v>1561</v>
      </c>
      <c r="C154" s="4" t="s">
        <v>1562</v>
      </c>
      <c r="D154" s="4" t="s">
        <v>1616</v>
      </c>
      <c r="E154" s="4" t="s">
        <v>1203</v>
      </c>
      <c r="F154" s="4" t="s">
        <v>127</v>
      </c>
      <c r="G154" s="4" t="s">
        <v>115</v>
      </c>
      <c r="H154" s="4" t="s">
        <v>1617</v>
      </c>
      <c r="I154" s="4" t="s">
        <v>1618</v>
      </c>
      <c r="J154" s="4" t="s">
        <v>1619</v>
      </c>
      <c r="K154" s="4" t="s">
        <v>1620</v>
      </c>
      <c r="L154" s="4" t="s">
        <v>8</v>
      </c>
      <c r="M154" s="4" t="s">
        <v>59</v>
      </c>
      <c r="N154" s="4" t="s">
        <v>60</v>
      </c>
      <c r="O154" s="4" t="s">
        <v>1621</v>
      </c>
      <c r="P154" s="4" t="s">
        <v>1622</v>
      </c>
      <c r="Q154" s="4" t="s">
        <v>1612</v>
      </c>
      <c r="R154" s="4" t="s">
        <v>1623</v>
      </c>
      <c r="S154" s="4" t="s">
        <v>127</v>
      </c>
      <c r="T154" s="4" t="s">
        <v>1624</v>
      </c>
      <c r="U154" s="4" t="s">
        <v>1583</v>
      </c>
      <c r="V154" s="4" t="s">
        <v>138</v>
      </c>
      <c r="W154" s="4" t="s">
        <v>142</v>
      </c>
      <c r="X154" s="4" t="s">
        <v>70</v>
      </c>
      <c r="Y154" s="4"/>
    </row>
    <row r="155" spans="1:25" ht="54.7">
      <c r="A155" s="4" t="s">
        <v>1625</v>
      </c>
      <c r="B155" s="4" t="s">
        <v>1561</v>
      </c>
      <c r="C155" s="4" t="s">
        <v>1562</v>
      </c>
      <c r="D155" s="4" t="s">
        <v>1626</v>
      </c>
      <c r="E155" s="4" t="s">
        <v>141</v>
      </c>
      <c r="F155" s="4" t="s">
        <v>142</v>
      </c>
      <c r="G155" s="4" t="s">
        <v>178</v>
      </c>
      <c r="H155" s="4" t="s">
        <v>1627</v>
      </c>
      <c r="I155" s="4" t="s">
        <v>1628</v>
      </c>
      <c r="J155" s="4" t="s">
        <v>1629</v>
      </c>
      <c r="K155" s="4" t="s">
        <v>1630</v>
      </c>
      <c r="L155" s="4" t="s">
        <v>8</v>
      </c>
      <c r="M155" s="4" t="s">
        <v>59</v>
      </c>
      <c r="N155" s="4" t="s">
        <v>60</v>
      </c>
      <c r="O155" s="4" t="s">
        <v>561</v>
      </c>
      <c r="P155" s="4" t="s">
        <v>1580</v>
      </c>
      <c r="Q155" s="4" t="s">
        <v>403</v>
      </c>
      <c r="R155" s="4" t="s">
        <v>1631</v>
      </c>
      <c r="S155" s="4" t="s">
        <v>127</v>
      </c>
      <c r="T155" s="4" t="s">
        <v>1632</v>
      </c>
      <c r="U155" s="4" t="s">
        <v>555</v>
      </c>
      <c r="V155" s="4" t="s">
        <v>227</v>
      </c>
      <c r="W155" s="4" t="s">
        <v>142</v>
      </c>
      <c r="X155" s="4" t="s">
        <v>70</v>
      </c>
      <c r="Y155" s="4"/>
    </row>
    <row r="156" spans="1:25" ht="54.7">
      <c r="A156" s="4" t="s">
        <v>1633</v>
      </c>
      <c r="B156" s="4" t="s">
        <v>1561</v>
      </c>
      <c r="C156" s="4" t="s">
        <v>1562</v>
      </c>
      <c r="D156" s="4" t="s">
        <v>1634</v>
      </c>
      <c r="E156" s="4" t="s">
        <v>141</v>
      </c>
      <c r="F156" s="4" t="s">
        <v>142</v>
      </c>
      <c r="G156" s="4" t="s">
        <v>178</v>
      </c>
      <c r="H156" s="4" t="s">
        <v>1635</v>
      </c>
      <c r="I156" s="4" t="s">
        <v>1636</v>
      </c>
      <c r="J156" s="4" t="s">
        <v>1637</v>
      </c>
      <c r="K156" s="4" t="s">
        <v>1638</v>
      </c>
      <c r="L156" s="4" t="s">
        <v>8</v>
      </c>
      <c r="M156" s="4" t="s">
        <v>59</v>
      </c>
      <c r="N156" s="4" t="s">
        <v>60</v>
      </c>
      <c r="O156" s="4" t="s">
        <v>1621</v>
      </c>
      <c r="P156" s="4" t="s">
        <v>1412</v>
      </c>
      <c r="Q156" s="4" t="s">
        <v>403</v>
      </c>
      <c r="R156" s="4" t="s">
        <v>1639</v>
      </c>
      <c r="S156" s="4" t="s">
        <v>65</v>
      </c>
      <c r="T156" s="4" t="s">
        <v>1414</v>
      </c>
      <c r="U156" s="4" t="s">
        <v>1640</v>
      </c>
      <c r="V156" s="4" t="s">
        <v>138</v>
      </c>
      <c r="W156" s="4" t="s">
        <v>142</v>
      </c>
      <c r="X156" s="4" t="s">
        <v>70</v>
      </c>
      <c r="Y156" s="4"/>
    </row>
    <row r="157" spans="1:25" ht="54.7">
      <c r="A157" s="4" t="s">
        <v>1641</v>
      </c>
      <c r="B157" s="4" t="s">
        <v>1561</v>
      </c>
      <c r="C157" s="4" t="s">
        <v>1562</v>
      </c>
      <c r="D157" s="4" t="s">
        <v>1642</v>
      </c>
      <c r="E157" s="4" t="s">
        <v>126</v>
      </c>
      <c r="F157" s="4" t="s">
        <v>127</v>
      </c>
      <c r="G157" s="4" t="s">
        <v>128</v>
      </c>
      <c r="H157" s="4" t="s">
        <v>1643</v>
      </c>
      <c r="I157" s="4" t="s">
        <v>1644</v>
      </c>
      <c r="J157" s="4" t="s">
        <v>1645</v>
      </c>
      <c r="K157" s="4" t="s">
        <v>1646</v>
      </c>
      <c r="L157" s="4" t="s">
        <v>8</v>
      </c>
      <c r="M157" s="4" t="s">
        <v>168</v>
      </c>
      <c r="N157" s="4" t="s">
        <v>60</v>
      </c>
      <c r="O157" s="4" t="s">
        <v>1621</v>
      </c>
      <c r="P157" s="4" t="s">
        <v>1647</v>
      </c>
      <c r="Q157" s="4" t="s">
        <v>403</v>
      </c>
      <c r="R157" s="4" t="s">
        <v>1648</v>
      </c>
      <c r="S157" s="4" t="s">
        <v>65</v>
      </c>
      <c r="T157" s="4" t="s">
        <v>1649</v>
      </c>
      <c r="U157" s="4" t="s">
        <v>1634</v>
      </c>
      <c r="V157" s="4" t="s">
        <v>97</v>
      </c>
      <c r="W157" s="4" t="s">
        <v>142</v>
      </c>
      <c r="X157" s="4" t="s">
        <v>70</v>
      </c>
      <c r="Y157" s="4"/>
    </row>
    <row r="158" spans="1:25" ht="54.7">
      <c r="A158" s="4" t="s">
        <v>1650</v>
      </c>
      <c r="B158" s="4" t="s">
        <v>1561</v>
      </c>
      <c r="C158" s="4" t="s">
        <v>1562</v>
      </c>
      <c r="D158" s="4" t="s">
        <v>1651</v>
      </c>
      <c r="E158" s="4" t="s">
        <v>141</v>
      </c>
      <c r="F158" s="4" t="s">
        <v>142</v>
      </c>
      <c r="G158" s="4" t="s">
        <v>178</v>
      </c>
      <c r="H158" s="4" t="s">
        <v>1652</v>
      </c>
      <c r="I158" s="4" t="s">
        <v>1653</v>
      </c>
      <c r="J158" s="4" t="s">
        <v>1654</v>
      </c>
      <c r="K158" s="4" t="s">
        <v>1655</v>
      </c>
      <c r="L158" s="4" t="s">
        <v>11</v>
      </c>
      <c r="M158" s="4" t="s">
        <v>168</v>
      </c>
      <c r="N158" s="4" t="s">
        <v>169</v>
      </c>
      <c r="O158" s="4" t="s">
        <v>1656</v>
      </c>
      <c r="P158" s="4" t="s">
        <v>1657</v>
      </c>
      <c r="Q158" s="4" t="s">
        <v>80</v>
      </c>
      <c r="R158" s="4" t="s">
        <v>1658</v>
      </c>
      <c r="S158" s="4" t="s">
        <v>65</v>
      </c>
      <c r="T158" s="4" t="s">
        <v>1659</v>
      </c>
      <c r="U158" s="4" t="s">
        <v>1415</v>
      </c>
      <c r="V158" s="4" t="s">
        <v>97</v>
      </c>
      <c r="W158" s="4" t="s">
        <v>142</v>
      </c>
      <c r="X158" s="4" t="s">
        <v>70</v>
      </c>
      <c r="Y158" s="4"/>
    </row>
    <row r="159" spans="1:25" ht="54.7">
      <c r="A159" s="4" t="s">
        <v>1660</v>
      </c>
      <c r="B159" s="4" t="s">
        <v>1561</v>
      </c>
      <c r="C159" s="4" t="s">
        <v>1562</v>
      </c>
      <c r="D159" s="4" t="s">
        <v>1661</v>
      </c>
      <c r="E159" s="4" t="s">
        <v>141</v>
      </c>
      <c r="F159" s="4" t="s">
        <v>142</v>
      </c>
      <c r="G159" s="4" t="s">
        <v>178</v>
      </c>
      <c r="H159" s="4" t="s">
        <v>1662</v>
      </c>
      <c r="I159" s="4" t="s">
        <v>1663</v>
      </c>
      <c r="J159" s="4" t="s">
        <v>1664</v>
      </c>
      <c r="K159" s="4" t="s">
        <v>1665</v>
      </c>
      <c r="L159" s="4" t="s">
        <v>8</v>
      </c>
      <c r="M159" s="4" t="s">
        <v>168</v>
      </c>
      <c r="N159" s="4" t="s">
        <v>60</v>
      </c>
      <c r="O159" s="4" t="s">
        <v>1666</v>
      </c>
      <c r="P159" s="4" t="s">
        <v>1667</v>
      </c>
      <c r="Q159" s="4" t="s">
        <v>1668</v>
      </c>
      <c r="R159" s="4" t="s">
        <v>1669</v>
      </c>
      <c r="S159" s="4" t="s">
        <v>65</v>
      </c>
      <c r="T159" s="4" t="s">
        <v>1670</v>
      </c>
      <c r="U159" s="4" t="s">
        <v>553</v>
      </c>
      <c r="V159" s="4" t="s">
        <v>97</v>
      </c>
      <c r="W159" s="4" t="s">
        <v>142</v>
      </c>
      <c r="X159" s="4" t="s">
        <v>70</v>
      </c>
      <c r="Y159" s="4"/>
    </row>
    <row r="160" spans="1:25" ht="54.7">
      <c r="A160" s="4" t="s">
        <v>1671</v>
      </c>
      <c r="B160" s="4" t="s">
        <v>1561</v>
      </c>
      <c r="C160" s="4" t="s">
        <v>1562</v>
      </c>
      <c r="D160" s="4" t="s">
        <v>1672</v>
      </c>
      <c r="E160" s="4" t="s">
        <v>52</v>
      </c>
      <c r="F160" s="4" t="s">
        <v>53</v>
      </c>
      <c r="G160" s="4" t="s">
        <v>54</v>
      </c>
      <c r="H160" s="4" t="s">
        <v>1673</v>
      </c>
      <c r="I160" s="4" t="s">
        <v>1674</v>
      </c>
      <c r="J160" s="4" t="s">
        <v>1675</v>
      </c>
      <c r="K160" s="4" t="s">
        <v>1676</v>
      </c>
      <c r="L160" s="4" t="s">
        <v>11</v>
      </c>
      <c r="M160" s="4" t="s">
        <v>168</v>
      </c>
      <c r="N160" s="4" t="s">
        <v>60</v>
      </c>
      <c r="O160" s="4" t="s">
        <v>1677</v>
      </c>
      <c r="P160" s="4" t="s">
        <v>1678</v>
      </c>
      <c r="Q160" s="4" t="s">
        <v>1668</v>
      </c>
      <c r="R160" s="4" t="s">
        <v>1679</v>
      </c>
      <c r="S160" s="4" t="s">
        <v>65</v>
      </c>
      <c r="T160" s="4" t="s">
        <v>1680</v>
      </c>
      <c r="U160" s="4" t="s">
        <v>1681</v>
      </c>
      <c r="V160" s="4" t="s">
        <v>97</v>
      </c>
      <c r="W160" s="4" t="s">
        <v>142</v>
      </c>
      <c r="X160" s="4" t="s">
        <v>70</v>
      </c>
      <c r="Y160" s="4"/>
    </row>
    <row r="161" spans="1:25" ht="54.7">
      <c r="A161" s="4" t="s">
        <v>1682</v>
      </c>
      <c r="B161" s="4" t="s">
        <v>1561</v>
      </c>
      <c r="C161" s="4" t="s">
        <v>1562</v>
      </c>
      <c r="D161" s="4" t="s">
        <v>1683</v>
      </c>
      <c r="E161" s="4" t="s">
        <v>141</v>
      </c>
      <c r="F161" s="4" t="s">
        <v>142</v>
      </c>
      <c r="G161" s="4" t="s">
        <v>178</v>
      </c>
      <c r="H161" s="4" t="s">
        <v>1684</v>
      </c>
      <c r="I161" s="4" t="s">
        <v>1685</v>
      </c>
      <c r="J161" s="4" t="s">
        <v>1686</v>
      </c>
      <c r="K161" s="4" t="s">
        <v>1687</v>
      </c>
      <c r="L161" s="4" t="s">
        <v>11</v>
      </c>
      <c r="M161" s="4" t="s">
        <v>168</v>
      </c>
      <c r="N161" s="4" t="s">
        <v>60</v>
      </c>
      <c r="O161" s="4" t="s">
        <v>1621</v>
      </c>
      <c r="P161" s="4" t="s">
        <v>1688</v>
      </c>
      <c r="Q161" s="4" t="s">
        <v>1668</v>
      </c>
      <c r="R161" s="4" t="s">
        <v>1689</v>
      </c>
      <c r="S161" s="4" t="s">
        <v>65</v>
      </c>
      <c r="T161" s="4" t="s">
        <v>1690</v>
      </c>
      <c r="U161" s="4" t="s">
        <v>1691</v>
      </c>
      <c r="V161" s="4" t="s">
        <v>97</v>
      </c>
      <c r="W161" s="4" t="s">
        <v>142</v>
      </c>
      <c r="X161" s="4" t="s">
        <v>70</v>
      </c>
      <c r="Y161" s="4"/>
    </row>
    <row r="162" spans="1:25" ht="54.7">
      <c r="A162" s="4" t="s">
        <v>1692</v>
      </c>
      <c r="B162" s="4" t="s">
        <v>1561</v>
      </c>
      <c r="C162" s="4" t="s">
        <v>1562</v>
      </c>
      <c r="D162" s="4" t="s">
        <v>1693</v>
      </c>
      <c r="E162" s="4" t="s">
        <v>1203</v>
      </c>
      <c r="F162" s="4" t="s">
        <v>127</v>
      </c>
      <c r="G162" s="4" t="s">
        <v>115</v>
      </c>
      <c r="H162" s="4" t="s">
        <v>1694</v>
      </c>
      <c r="I162" s="4" t="s">
        <v>1695</v>
      </c>
      <c r="J162" s="4" t="s">
        <v>1696</v>
      </c>
      <c r="K162" s="4" t="s">
        <v>1697</v>
      </c>
      <c r="L162" s="4" t="s">
        <v>8</v>
      </c>
      <c r="M162" s="4" t="s">
        <v>59</v>
      </c>
      <c r="N162" s="4" t="s">
        <v>60</v>
      </c>
      <c r="O162" s="4" t="s">
        <v>1621</v>
      </c>
      <c r="P162" s="4" t="s">
        <v>1698</v>
      </c>
      <c r="Q162" s="4" t="s">
        <v>403</v>
      </c>
      <c r="R162" s="4" t="s">
        <v>1699</v>
      </c>
      <c r="S162" s="4" t="s">
        <v>127</v>
      </c>
      <c r="T162" s="4" t="s">
        <v>1700</v>
      </c>
      <c r="U162" s="4" t="s">
        <v>950</v>
      </c>
      <c r="V162" s="4" t="s">
        <v>97</v>
      </c>
      <c r="W162" s="4" t="s">
        <v>142</v>
      </c>
      <c r="X162" s="4" t="s">
        <v>70</v>
      </c>
      <c r="Y162" s="4"/>
    </row>
    <row r="163" spans="1:25" ht="54.7">
      <c r="A163" s="4" t="s">
        <v>1701</v>
      </c>
      <c r="B163" s="4" t="s">
        <v>1561</v>
      </c>
      <c r="C163" s="4" t="s">
        <v>1562</v>
      </c>
      <c r="D163" s="4" t="s">
        <v>1702</v>
      </c>
      <c r="E163" s="4" t="s">
        <v>1703</v>
      </c>
      <c r="F163" s="4" t="s">
        <v>1704</v>
      </c>
      <c r="G163" s="4" t="s">
        <v>1705</v>
      </c>
      <c r="H163" s="4" t="s">
        <v>1706</v>
      </c>
      <c r="I163" s="4" t="s">
        <v>1707</v>
      </c>
      <c r="J163" s="4" t="s">
        <v>1708</v>
      </c>
      <c r="K163" s="4" t="s">
        <v>1709</v>
      </c>
      <c r="L163" s="4" t="s">
        <v>14</v>
      </c>
      <c r="M163" s="4" t="s">
        <v>1710</v>
      </c>
      <c r="N163" s="4" t="s">
        <v>169</v>
      </c>
      <c r="O163" s="4" t="s">
        <v>1711</v>
      </c>
      <c r="P163" s="4" t="s">
        <v>1712</v>
      </c>
      <c r="Q163" s="4" t="s">
        <v>1713</v>
      </c>
      <c r="R163" s="4" t="s">
        <v>1714</v>
      </c>
      <c r="S163" s="4" t="s">
        <v>1715</v>
      </c>
      <c r="T163" s="4" t="s">
        <v>1716</v>
      </c>
      <c r="U163" s="4" t="s">
        <v>1717</v>
      </c>
      <c r="V163" s="4" t="s">
        <v>138</v>
      </c>
      <c r="W163" s="4" t="s">
        <v>142</v>
      </c>
      <c r="X163" s="4" t="s">
        <v>70</v>
      </c>
      <c r="Y163" s="4"/>
    </row>
    <row r="164" spans="1:25" ht="68.349999999999994">
      <c r="A164" s="4" t="s">
        <v>1718</v>
      </c>
      <c r="B164" s="4" t="s">
        <v>1561</v>
      </c>
      <c r="C164" s="4" t="s">
        <v>1562</v>
      </c>
      <c r="D164" s="4" t="s">
        <v>1719</v>
      </c>
      <c r="E164" s="4" t="s">
        <v>141</v>
      </c>
      <c r="F164" s="4" t="s">
        <v>142</v>
      </c>
      <c r="G164" s="4" t="s">
        <v>128</v>
      </c>
      <c r="H164" s="4" t="s">
        <v>1720</v>
      </c>
      <c r="I164" s="4" t="s">
        <v>1721</v>
      </c>
      <c r="J164" s="4" t="s">
        <v>1722</v>
      </c>
      <c r="K164" s="4" t="s">
        <v>1723</v>
      </c>
      <c r="L164" s="4" t="s">
        <v>8</v>
      </c>
      <c r="M164" s="4" t="s">
        <v>1724</v>
      </c>
      <c r="N164" s="4" t="s">
        <v>169</v>
      </c>
      <c r="O164" s="4" t="s">
        <v>1711</v>
      </c>
      <c r="P164" s="4" t="s">
        <v>1712</v>
      </c>
      <c r="Q164" s="4" t="s">
        <v>1713</v>
      </c>
      <c r="R164" s="4" t="s">
        <v>1725</v>
      </c>
      <c r="S164" s="4" t="s">
        <v>1715</v>
      </c>
      <c r="T164" s="4" t="s">
        <v>1726</v>
      </c>
      <c r="U164" s="4" t="s">
        <v>1702</v>
      </c>
      <c r="V164" s="4" t="s">
        <v>138</v>
      </c>
      <c r="W164" s="4" t="s">
        <v>98</v>
      </c>
      <c r="X164" s="4" t="s">
        <v>70</v>
      </c>
      <c r="Y164" s="4"/>
    </row>
    <row r="165" spans="1:25" ht="54.7">
      <c r="A165" s="4" t="s">
        <v>1727</v>
      </c>
      <c r="B165" s="4" t="s">
        <v>1561</v>
      </c>
      <c r="C165" s="4" t="s">
        <v>1562</v>
      </c>
      <c r="D165" s="4" t="s">
        <v>1728</v>
      </c>
      <c r="E165" s="4" t="s">
        <v>52</v>
      </c>
      <c r="F165" s="4" t="s">
        <v>53</v>
      </c>
      <c r="G165" s="4" t="s">
        <v>102</v>
      </c>
      <c r="H165" s="4" t="s">
        <v>1729</v>
      </c>
      <c r="I165" s="4" t="s">
        <v>1730</v>
      </c>
      <c r="J165" s="4" t="s">
        <v>1731</v>
      </c>
      <c r="K165" s="4" t="s">
        <v>1732</v>
      </c>
      <c r="L165" s="4" t="s">
        <v>17</v>
      </c>
      <c r="M165" s="4" t="s">
        <v>1710</v>
      </c>
      <c r="N165" s="4" t="s">
        <v>1710</v>
      </c>
      <c r="O165" s="4" t="s">
        <v>1733</v>
      </c>
      <c r="P165" s="4" t="s">
        <v>1734</v>
      </c>
      <c r="Q165" s="4" t="s">
        <v>1735</v>
      </c>
      <c r="R165" s="4" t="s">
        <v>1736</v>
      </c>
      <c r="S165" s="4" t="s">
        <v>65</v>
      </c>
      <c r="T165" s="4" t="s">
        <v>1737</v>
      </c>
      <c r="U165" s="4" t="s">
        <v>1738</v>
      </c>
      <c r="V165" s="4" t="s">
        <v>655</v>
      </c>
      <c r="W165" s="4" t="s">
        <v>142</v>
      </c>
      <c r="X165" s="4" t="s">
        <v>70</v>
      </c>
      <c r="Y165" s="4"/>
    </row>
    <row r="166" spans="1:25" ht="54.7">
      <c r="A166" s="4" t="s">
        <v>1739</v>
      </c>
      <c r="B166" s="4" t="s">
        <v>1561</v>
      </c>
      <c r="C166" s="4" t="s">
        <v>1562</v>
      </c>
      <c r="D166" s="4" t="s">
        <v>1740</v>
      </c>
      <c r="E166" s="4" t="s">
        <v>141</v>
      </c>
      <c r="F166" s="4" t="s">
        <v>142</v>
      </c>
      <c r="G166" s="4" t="s">
        <v>178</v>
      </c>
      <c r="H166" s="4" t="s">
        <v>1741</v>
      </c>
      <c r="I166" s="4" t="s">
        <v>1742</v>
      </c>
      <c r="J166" s="4" t="s">
        <v>1743</v>
      </c>
      <c r="K166" s="4" t="s">
        <v>1744</v>
      </c>
      <c r="L166" s="4" t="s">
        <v>8</v>
      </c>
      <c r="M166" s="4" t="s">
        <v>59</v>
      </c>
      <c r="N166" s="4" t="s">
        <v>60</v>
      </c>
      <c r="O166" s="4" t="s">
        <v>1745</v>
      </c>
      <c r="P166" s="4" t="s">
        <v>402</v>
      </c>
      <c r="Q166" s="4" t="s">
        <v>403</v>
      </c>
      <c r="R166" s="4" t="s">
        <v>1746</v>
      </c>
      <c r="S166" s="4" t="s">
        <v>127</v>
      </c>
      <c r="T166" s="4" t="s">
        <v>1747</v>
      </c>
      <c r="U166" s="4" t="s">
        <v>1748</v>
      </c>
      <c r="V166" s="4" t="s">
        <v>97</v>
      </c>
      <c r="W166" s="4" t="s">
        <v>142</v>
      </c>
      <c r="X166" s="4" t="s">
        <v>70</v>
      </c>
      <c r="Y166" s="4"/>
    </row>
    <row r="167" spans="1:25" ht="54.7">
      <c r="A167" s="4" t="s">
        <v>1749</v>
      </c>
      <c r="B167" s="4" t="s">
        <v>1561</v>
      </c>
      <c r="C167" s="4" t="s">
        <v>1562</v>
      </c>
      <c r="D167" s="4" t="s">
        <v>1750</v>
      </c>
      <c r="E167" s="4" t="s">
        <v>141</v>
      </c>
      <c r="F167" s="4" t="s">
        <v>142</v>
      </c>
      <c r="G167" s="4" t="s">
        <v>178</v>
      </c>
      <c r="H167" s="4" t="s">
        <v>1751</v>
      </c>
      <c r="I167" s="4" t="s">
        <v>1752</v>
      </c>
      <c r="J167" s="4" t="s">
        <v>1753</v>
      </c>
      <c r="K167" s="4" t="s">
        <v>1754</v>
      </c>
      <c r="L167" s="4" t="s">
        <v>8</v>
      </c>
      <c r="M167" s="4" t="s">
        <v>59</v>
      </c>
      <c r="N167" s="4" t="s">
        <v>60</v>
      </c>
      <c r="O167" s="4" t="s">
        <v>1755</v>
      </c>
      <c r="P167" s="4" t="s">
        <v>1756</v>
      </c>
      <c r="Q167" s="4" t="s">
        <v>403</v>
      </c>
      <c r="R167" s="4" t="s">
        <v>1757</v>
      </c>
      <c r="S167" s="4" t="s">
        <v>127</v>
      </c>
      <c r="T167" s="4" t="s">
        <v>1758</v>
      </c>
      <c r="U167" s="4" t="s">
        <v>1759</v>
      </c>
      <c r="V167" s="4" t="s">
        <v>138</v>
      </c>
      <c r="W167" s="4" t="s">
        <v>142</v>
      </c>
      <c r="X167" s="4" t="s">
        <v>70</v>
      </c>
      <c r="Y167" s="4"/>
    </row>
    <row r="168" spans="1:25" ht="54.7">
      <c r="A168" s="4" t="s">
        <v>1760</v>
      </c>
      <c r="B168" s="4" t="s">
        <v>1761</v>
      </c>
      <c r="C168" s="4" t="s">
        <v>1762</v>
      </c>
      <c r="D168" s="4" t="s">
        <v>1763</v>
      </c>
      <c r="E168" s="4" t="s">
        <v>126</v>
      </c>
      <c r="F168" s="4" t="s">
        <v>127</v>
      </c>
      <c r="G168" s="4" t="s">
        <v>115</v>
      </c>
      <c r="H168" s="4" t="s">
        <v>1764</v>
      </c>
      <c r="I168" s="4" t="s">
        <v>1765</v>
      </c>
      <c r="J168" s="4" t="s">
        <v>1766</v>
      </c>
      <c r="K168" s="4" t="s">
        <v>1767</v>
      </c>
      <c r="L168" s="4" t="s">
        <v>8</v>
      </c>
      <c r="M168" s="4" t="s">
        <v>59</v>
      </c>
      <c r="N168" s="4" t="s">
        <v>60</v>
      </c>
      <c r="O168" s="4" t="s">
        <v>115</v>
      </c>
      <c r="P168" s="4" t="s">
        <v>1768</v>
      </c>
      <c r="Q168" s="4" t="s">
        <v>403</v>
      </c>
      <c r="R168" s="4" t="s">
        <v>1769</v>
      </c>
      <c r="S168" s="4" t="s">
        <v>127</v>
      </c>
      <c r="T168" s="4" t="s">
        <v>1770</v>
      </c>
      <c r="U168" s="4" t="s">
        <v>1771</v>
      </c>
      <c r="V168" s="4" t="s">
        <v>83</v>
      </c>
      <c r="W168" s="4" t="s">
        <v>98</v>
      </c>
      <c r="X168" s="4" t="s">
        <v>70</v>
      </c>
      <c r="Y168" s="4"/>
    </row>
    <row r="169" spans="1:25" ht="54.7">
      <c r="A169" s="4" t="s">
        <v>1772</v>
      </c>
      <c r="B169" s="4" t="s">
        <v>1761</v>
      </c>
      <c r="C169" s="4" t="s">
        <v>1762</v>
      </c>
      <c r="D169" s="4" t="s">
        <v>1773</v>
      </c>
      <c r="E169" s="4" t="s">
        <v>141</v>
      </c>
      <c r="F169" s="4" t="s">
        <v>142</v>
      </c>
      <c r="G169" s="4" t="s">
        <v>128</v>
      </c>
      <c r="H169" s="4" t="s">
        <v>1774</v>
      </c>
      <c r="I169" s="4" t="s">
        <v>1775</v>
      </c>
      <c r="J169" s="4" t="s">
        <v>1776</v>
      </c>
      <c r="K169" s="4" t="s">
        <v>1777</v>
      </c>
      <c r="L169" s="4" t="s">
        <v>8</v>
      </c>
      <c r="M169" s="4" t="s">
        <v>59</v>
      </c>
      <c r="N169" s="4" t="s">
        <v>60</v>
      </c>
      <c r="O169" s="4" t="s">
        <v>1778</v>
      </c>
      <c r="P169" s="4" t="s">
        <v>1779</v>
      </c>
      <c r="Q169" s="4" t="s">
        <v>403</v>
      </c>
      <c r="R169" s="4" t="s">
        <v>1780</v>
      </c>
      <c r="S169" s="4" t="s">
        <v>127</v>
      </c>
      <c r="T169" s="4" t="s">
        <v>1781</v>
      </c>
      <c r="U169" s="4" t="s">
        <v>1748</v>
      </c>
      <c r="V169" s="4" t="s">
        <v>97</v>
      </c>
      <c r="W169" s="4" t="s">
        <v>98</v>
      </c>
      <c r="X169" s="4" t="s">
        <v>70</v>
      </c>
      <c r="Y169" s="4"/>
    </row>
    <row r="170" spans="1:25" ht="54.7">
      <c r="A170" s="4" t="s">
        <v>1782</v>
      </c>
      <c r="B170" s="4" t="s">
        <v>1761</v>
      </c>
      <c r="C170" s="4" t="s">
        <v>1762</v>
      </c>
      <c r="D170" s="4" t="s">
        <v>1783</v>
      </c>
      <c r="E170" s="4" t="s">
        <v>787</v>
      </c>
      <c r="F170" s="4" t="s">
        <v>142</v>
      </c>
      <c r="G170" s="4" t="s">
        <v>178</v>
      </c>
      <c r="H170" s="4" t="s">
        <v>1784</v>
      </c>
      <c r="I170" s="4" t="s">
        <v>1785</v>
      </c>
      <c r="J170" s="4" t="s">
        <v>1786</v>
      </c>
      <c r="K170" s="4" t="s">
        <v>1787</v>
      </c>
      <c r="L170" s="4" t="s">
        <v>8</v>
      </c>
      <c r="M170" s="4" t="s">
        <v>59</v>
      </c>
      <c r="N170" s="4" t="s">
        <v>60</v>
      </c>
      <c r="O170" s="4" t="s">
        <v>1788</v>
      </c>
      <c r="P170" s="4" t="s">
        <v>1789</v>
      </c>
      <c r="Q170" s="4" t="s">
        <v>1790</v>
      </c>
      <c r="R170" s="4" t="s">
        <v>1791</v>
      </c>
      <c r="S170" s="4" t="s">
        <v>65</v>
      </c>
      <c r="T170" s="4" t="s">
        <v>1792</v>
      </c>
      <c r="U170" s="4" t="s">
        <v>226</v>
      </c>
      <c r="V170" s="4" t="s">
        <v>138</v>
      </c>
      <c r="W170" s="4" t="s">
        <v>98</v>
      </c>
      <c r="X170" s="4" t="s">
        <v>70</v>
      </c>
      <c r="Y170" s="4"/>
    </row>
    <row r="171" spans="1:25" ht="54.7">
      <c r="A171" s="4" t="s">
        <v>1793</v>
      </c>
      <c r="B171" s="4" t="s">
        <v>1761</v>
      </c>
      <c r="C171" s="4" t="s">
        <v>1762</v>
      </c>
      <c r="D171" s="4" t="s">
        <v>313</v>
      </c>
      <c r="E171" s="4" t="s">
        <v>787</v>
      </c>
      <c r="F171" s="4" t="s">
        <v>142</v>
      </c>
      <c r="G171" s="4" t="s">
        <v>178</v>
      </c>
      <c r="H171" s="4" t="s">
        <v>1794</v>
      </c>
      <c r="I171" s="4" t="s">
        <v>1795</v>
      </c>
      <c r="J171" s="4" t="s">
        <v>1796</v>
      </c>
      <c r="K171" s="4" t="s">
        <v>1797</v>
      </c>
      <c r="L171" s="4" t="s">
        <v>8</v>
      </c>
      <c r="M171" s="4" t="s">
        <v>59</v>
      </c>
      <c r="N171" s="4" t="s">
        <v>60</v>
      </c>
      <c r="O171" s="4" t="s">
        <v>1798</v>
      </c>
      <c r="P171" s="4" t="s">
        <v>1799</v>
      </c>
      <c r="Q171" s="4" t="s">
        <v>1800</v>
      </c>
      <c r="R171" s="4" t="s">
        <v>1791</v>
      </c>
      <c r="S171" s="4" t="s">
        <v>65</v>
      </c>
      <c r="T171" s="4" t="s">
        <v>1801</v>
      </c>
      <c r="U171" s="4" t="s">
        <v>795</v>
      </c>
      <c r="V171" s="4" t="s">
        <v>83</v>
      </c>
      <c r="W171" s="4" t="s">
        <v>98</v>
      </c>
      <c r="X171" s="4" t="s">
        <v>70</v>
      </c>
      <c r="Y171" s="4"/>
    </row>
    <row r="172" spans="1:25" ht="54.7">
      <c r="A172" s="4" t="s">
        <v>1802</v>
      </c>
      <c r="B172" s="4" t="s">
        <v>1761</v>
      </c>
      <c r="C172" s="4" t="s">
        <v>1762</v>
      </c>
      <c r="D172" s="4" t="s">
        <v>186</v>
      </c>
      <c r="E172" s="4" t="s">
        <v>787</v>
      </c>
      <c r="F172" s="4" t="s">
        <v>142</v>
      </c>
      <c r="G172" s="4" t="s">
        <v>178</v>
      </c>
      <c r="H172" s="4" t="s">
        <v>1803</v>
      </c>
      <c r="I172" s="4" t="s">
        <v>1804</v>
      </c>
      <c r="J172" s="4" t="s">
        <v>1805</v>
      </c>
      <c r="K172" s="4" t="s">
        <v>1806</v>
      </c>
      <c r="L172" s="4" t="s">
        <v>8</v>
      </c>
      <c r="M172" s="4" t="s">
        <v>59</v>
      </c>
      <c r="N172" s="4" t="s">
        <v>60</v>
      </c>
      <c r="O172" s="4" t="s">
        <v>1807</v>
      </c>
      <c r="P172" s="4" t="s">
        <v>1808</v>
      </c>
      <c r="Q172" s="4" t="s">
        <v>454</v>
      </c>
      <c r="R172" s="4" t="s">
        <v>1791</v>
      </c>
      <c r="S172" s="4" t="s">
        <v>65</v>
      </c>
      <c r="T172" s="4" t="s">
        <v>1809</v>
      </c>
      <c r="U172" s="4" t="s">
        <v>1810</v>
      </c>
      <c r="V172" s="4" t="s">
        <v>138</v>
      </c>
      <c r="W172" s="4" t="s">
        <v>98</v>
      </c>
      <c r="X172" s="4" t="s">
        <v>70</v>
      </c>
      <c r="Y172" s="4"/>
    </row>
    <row r="173" spans="1:25" ht="54.7">
      <c r="A173" s="4" t="s">
        <v>1811</v>
      </c>
      <c r="B173" s="4" t="s">
        <v>1761</v>
      </c>
      <c r="C173" s="4" t="s">
        <v>1762</v>
      </c>
      <c r="D173" s="4" t="s">
        <v>552</v>
      </c>
      <c r="E173" s="4" t="s">
        <v>141</v>
      </c>
      <c r="F173" s="4" t="s">
        <v>142</v>
      </c>
      <c r="G173" s="4" t="s">
        <v>178</v>
      </c>
      <c r="H173" s="4" t="s">
        <v>1812</v>
      </c>
      <c r="I173" s="4" t="s">
        <v>1813</v>
      </c>
      <c r="J173" s="4" t="s">
        <v>1814</v>
      </c>
      <c r="K173" s="4" t="s">
        <v>1815</v>
      </c>
      <c r="L173" s="4" t="s">
        <v>8</v>
      </c>
      <c r="M173" s="4" t="s">
        <v>59</v>
      </c>
      <c r="N173" s="4" t="s">
        <v>60</v>
      </c>
      <c r="O173" s="4" t="s">
        <v>1816</v>
      </c>
      <c r="P173" s="4" t="s">
        <v>550</v>
      </c>
      <c r="Q173" s="4" t="s">
        <v>1800</v>
      </c>
      <c r="R173" s="4" t="s">
        <v>1817</v>
      </c>
      <c r="S173" s="4" t="s">
        <v>65</v>
      </c>
      <c r="T173" s="4" t="s">
        <v>1818</v>
      </c>
      <c r="U173" s="4" t="s">
        <v>553</v>
      </c>
      <c r="V173" s="4" t="s">
        <v>138</v>
      </c>
      <c r="W173" s="4" t="s">
        <v>98</v>
      </c>
      <c r="X173" s="4" t="s">
        <v>70</v>
      </c>
      <c r="Y173" s="4"/>
    </row>
    <row r="174" spans="1:25" ht="54.7">
      <c r="A174" s="4" t="s">
        <v>1819</v>
      </c>
      <c r="B174" s="4" t="s">
        <v>1761</v>
      </c>
      <c r="C174" s="4" t="s">
        <v>1762</v>
      </c>
      <c r="D174" s="4" t="s">
        <v>1820</v>
      </c>
      <c r="E174" s="4" t="s">
        <v>126</v>
      </c>
      <c r="F174" s="4" t="s">
        <v>127</v>
      </c>
      <c r="G174" s="4" t="s">
        <v>776</v>
      </c>
      <c r="H174" s="4" t="s">
        <v>1821</v>
      </c>
      <c r="I174" s="4" t="s">
        <v>1822</v>
      </c>
      <c r="J174" s="4" t="s">
        <v>1823</v>
      </c>
      <c r="K174" s="4" t="s">
        <v>1824</v>
      </c>
      <c r="L174" s="4" t="s">
        <v>8</v>
      </c>
      <c r="M174" s="4" t="s">
        <v>59</v>
      </c>
      <c r="N174" s="4" t="s">
        <v>60</v>
      </c>
      <c r="O174" s="4" t="s">
        <v>1825</v>
      </c>
      <c r="P174" s="4" t="s">
        <v>1826</v>
      </c>
      <c r="Q174" s="4" t="s">
        <v>403</v>
      </c>
      <c r="R174" s="4" t="s">
        <v>1827</v>
      </c>
      <c r="S174" s="4" t="s">
        <v>127</v>
      </c>
      <c r="T174" s="4" t="s">
        <v>1828</v>
      </c>
      <c r="U174" s="4" t="s">
        <v>1829</v>
      </c>
      <c r="V174" s="4" t="s">
        <v>138</v>
      </c>
      <c r="W174" s="4" t="s">
        <v>98</v>
      </c>
      <c r="X174" s="4" t="s">
        <v>70</v>
      </c>
      <c r="Y174" s="4"/>
    </row>
    <row r="175" spans="1:25" ht="54.7">
      <c r="A175" s="4" t="s">
        <v>1830</v>
      </c>
      <c r="B175" s="4" t="s">
        <v>1761</v>
      </c>
      <c r="C175" s="4" t="s">
        <v>1762</v>
      </c>
      <c r="D175" s="4" t="s">
        <v>1831</v>
      </c>
      <c r="E175" s="4" t="s">
        <v>126</v>
      </c>
      <c r="F175" s="4" t="s">
        <v>127</v>
      </c>
      <c r="G175" s="4" t="s">
        <v>776</v>
      </c>
      <c r="H175" s="4" t="s">
        <v>1832</v>
      </c>
      <c r="I175" s="4" t="s">
        <v>1833</v>
      </c>
      <c r="J175" s="4" t="s">
        <v>1834</v>
      </c>
      <c r="K175" s="4" t="s">
        <v>1835</v>
      </c>
      <c r="L175" s="4" t="s">
        <v>8</v>
      </c>
      <c r="M175" s="4" t="s">
        <v>59</v>
      </c>
      <c r="N175" s="4" t="s">
        <v>60</v>
      </c>
      <c r="O175" s="4" t="s">
        <v>1825</v>
      </c>
      <c r="P175" s="4" t="s">
        <v>1836</v>
      </c>
      <c r="Q175" s="4" t="s">
        <v>403</v>
      </c>
      <c r="R175" s="4" t="s">
        <v>1837</v>
      </c>
      <c r="S175" s="4" t="s">
        <v>127</v>
      </c>
      <c r="T175" s="4" t="s">
        <v>1770</v>
      </c>
      <c r="U175" s="4" t="s">
        <v>1838</v>
      </c>
      <c r="V175" s="4" t="s">
        <v>138</v>
      </c>
      <c r="W175" s="4" t="s">
        <v>98</v>
      </c>
      <c r="X175" s="4" t="s">
        <v>70</v>
      </c>
      <c r="Y175" s="4"/>
    </row>
    <row r="176" spans="1:25" ht="54.7">
      <c r="A176" s="4" t="s">
        <v>1839</v>
      </c>
      <c r="B176" s="4" t="s">
        <v>1761</v>
      </c>
      <c r="C176" s="4" t="s">
        <v>1762</v>
      </c>
      <c r="D176" s="4" t="s">
        <v>1840</v>
      </c>
      <c r="E176" s="4" t="s">
        <v>126</v>
      </c>
      <c r="F176" s="4" t="s">
        <v>127</v>
      </c>
      <c r="G176" s="4" t="s">
        <v>1841</v>
      </c>
      <c r="H176" s="4" t="s">
        <v>1842</v>
      </c>
      <c r="I176" s="4" t="s">
        <v>1843</v>
      </c>
      <c r="J176" s="4" t="s">
        <v>1844</v>
      </c>
      <c r="K176" s="4" t="s">
        <v>1845</v>
      </c>
      <c r="L176" s="4" t="s">
        <v>8</v>
      </c>
      <c r="M176" s="4" t="s">
        <v>59</v>
      </c>
      <c r="N176" s="4" t="s">
        <v>60</v>
      </c>
      <c r="O176" s="4" t="s">
        <v>1846</v>
      </c>
      <c r="P176" s="4" t="s">
        <v>1847</v>
      </c>
      <c r="Q176" s="4" t="s">
        <v>403</v>
      </c>
      <c r="R176" s="4" t="s">
        <v>1848</v>
      </c>
      <c r="S176" s="4" t="s">
        <v>127</v>
      </c>
      <c r="T176" s="4" t="s">
        <v>134</v>
      </c>
      <c r="U176" s="4" t="s">
        <v>1849</v>
      </c>
      <c r="V176" s="4" t="s">
        <v>138</v>
      </c>
      <c r="W176" s="4" t="s">
        <v>98</v>
      </c>
      <c r="X176" s="4" t="s">
        <v>70</v>
      </c>
      <c r="Y176" s="4"/>
    </row>
    <row r="177" spans="1:25" ht="54.7">
      <c r="A177" s="4" t="s">
        <v>1850</v>
      </c>
      <c r="B177" s="4" t="s">
        <v>1761</v>
      </c>
      <c r="C177" s="4" t="s">
        <v>1762</v>
      </c>
      <c r="D177" s="4" t="s">
        <v>1851</v>
      </c>
      <c r="E177" s="4" t="s">
        <v>1852</v>
      </c>
      <c r="F177" s="4" t="s">
        <v>127</v>
      </c>
      <c r="G177" s="4" t="s">
        <v>1841</v>
      </c>
      <c r="H177" s="4" t="s">
        <v>1853</v>
      </c>
      <c r="I177" s="4" t="s">
        <v>1854</v>
      </c>
      <c r="J177" s="4" t="s">
        <v>1855</v>
      </c>
      <c r="K177" s="4" t="s">
        <v>1856</v>
      </c>
      <c r="L177" s="4" t="s">
        <v>8</v>
      </c>
      <c r="M177" s="4" t="s">
        <v>59</v>
      </c>
      <c r="N177" s="4" t="s">
        <v>60</v>
      </c>
      <c r="O177" s="4" t="s">
        <v>1857</v>
      </c>
      <c r="P177" s="4" t="s">
        <v>1858</v>
      </c>
      <c r="Q177" s="4" t="s">
        <v>80</v>
      </c>
      <c r="R177" s="4" t="s">
        <v>1859</v>
      </c>
      <c r="S177" s="4" t="s">
        <v>65</v>
      </c>
      <c r="T177" s="4" t="s">
        <v>1860</v>
      </c>
      <c r="U177" s="4" t="s">
        <v>1861</v>
      </c>
      <c r="V177" s="4" t="s">
        <v>138</v>
      </c>
      <c r="W177" s="4" t="s">
        <v>98</v>
      </c>
      <c r="X177" s="4" t="s">
        <v>70</v>
      </c>
      <c r="Y177" s="4"/>
    </row>
    <row r="178" spans="1:25" ht="54.7">
      <c r="A178" s="4" t="s">
        <v>1862</v>
      </c>
      <c r="B178" s="4" t="s">
        <v>1761</v>
      </c>
      <c r="C178" s="4" t="s">
        <v>1762</v>
      </c>
      <c r="D178" s="4" t="s">
        <v>1863</v>
      </c>
      <c r="E178" s="4" t="s">
        <v>126</v>
      </c>
      <c r="F178" s="4" t="s">
        <v>127</v>
      </c>
      <c r="G178" s="4" t="s">
        <v>776</v>
      </c>
      <c r="H178" s="4" t="s">
        <v>1864</v>
      </c>
      <c r="I178" s="4" t="s">
        <v>1865</v>
      </c>
      <c r="J178" s="4" t="s">
        <v>1866</v>
      </c>
      <c r="K178" s="4" t="s">
        <v>1867</v>
      </c>
      <c r="L178" s="4" t="s">
        <v>8</v>
      </c>
      <c r="M178" s="4" t="s">
        <v>59</v>
      </c>
      <c r="N178" s="4" t="s">
        <v>60</v>
      </c>
      <c r="O178" s="4" t="s">
        <v>1868</v>
      </c>
      <c r="P178" s="4" t="s">
        <v>1869</v>
      </c>
      <c r="Q178" s="4" t="s">
        <v>1870</v>
      </c>
      <c r="R178" s="4" t="s">
        <v>1871</v>
      </c>
      <c r="S178" s="4" t="s">
        <v>127</v>
      </c>
      <c r="T178" s="4" t="s">
        <v>1770</v>
      </c>
      <c r="U178" s="4" t="s">
        <v>1872</v>
      </c>
      <c r="V178" s="4" t="s">
        <v>138</v>
      </c>
      <c r="W178" s="4" t="s">
        <v>98</v>
      </c>
      <c r="X178" s="4" t="s">
        <v>70</v>
      </c>
      <c r="Y178" s="4"/>
    </row>
    <row r="179" spans="1:25" ht="54.7">
      <c r="A179" s="4" t="s">
        <v>1873</v>
      </c>
      <c r="B179" s="4" t="s">
        <v>1761</v>
      </c>
      <c r="C179" s="4" t="s">
        <v>1762</v>
      </c>
      <c r="D179" s="4" t="s">
        <v>1874</v>
      </c>
      <c r="E179" s="4" t="s">
        <v>126</v>
      </c>
      <c r="F179" s="4" t="s">
        <v>127</v>
      </c>
      <c r="G179" s="4" t="s">
        <v>396</v>
      </c>
      <c r="H179" s="4" t="s">
        <v>1875</v>
      </c>
      <c r="I179" s="4" t="s">
        <v>1876</v>
      </c>
      <c r="J179" s="4" t="s">
        <v>1877</v>
      </c>
      <c r="K179" s="4" t="s">
        <v>1878</v>
      </c>
      <c r="L179" s="4" t="s">
        <v>8</v>
      </c>
      <c r="M179" s="4" t="s">
        <v>59</v>
      </c>
      <c r="N179" s="4" t="s">
        <v>60</v>
      </c>
      <c r="O179" s="4" t="s">
        <v>1879</v>
      </c>
      <c r="P179" s="4" t="s">
        <v>1880</v>
      </c>
      <c r="Q179" s="4" t="s">
        <v>1881</v>
      </c>
      <c r="R179" s="4" t="s">
        <v>1882</v>
      </c>
      <c r="S179" s="4" t="s">
        <v>127</v>
      </c>
      <c r="T179" s="4" t="s">
        <v>1883</v>
      </c>
      <c r="U179" s="4" t="s">
        <v>406</v>
      </c>
      <c r="V179" s="4" t="s">
        <v>138</v>
      </c>
      <c r="W179" s="4" t="s">
        <v>98</v>
      </c>
      <c r="X179" s="4" t="s">
        <v>70</v>
      </c>
      <c r="Y179" s="4"/>
    </row>
    <row r="180" spans="1:25" ht="54.7">
      <c r="A180" s="4" t="s">
        <v>1884</v>
      </c>
      <c r="B180" s="4" t="s">
        <v>1761</v>
      </c>
      <c r="C180" s="4" t="s">
        <v>1762</v>
      </c>
      <c r="D180" s="4" t="s">
        <v>1885</v>
      </c>
      <c r="E180" s="4" t="s">
        <v>126</v>
      </c>
      <c r="F180" s="4" t="s">
        <v>127</v>
      </c>
      <c r="G180" s="4" t="s">
        <v>396</v>
      </c>
      <c r="H180" s="4" t="s">
        <v>1886</v>
      </c>
      <c r="I180" s="4" t="s">
        <v>1887</v>
      </c>
      <c r="J180" s="4" t="s">
        <v>1888</v>
      </c>
      <c r="K180" s="4" t="s">
        <v>1889</v>
      </c>
      <c r="L180" s="4" t="s">
        <v>8</v>
      </c>
      <c r="M180" s="4" t="s">
        <v>59</v>
      </c>
      <c r="N180" s="4" t="s">
        <v>60</v>
      </c>
      <c r="O180" s="4" t="s">
        <v>1890</v>
      </c>
      <c r="P180" s="4" t="s">
        <v>1891</v>
      </c>
      <c r="Q180" s="4" t="s">
        <v>675</v>
      </c>
      <c r="R180" s="4" t="s">
        <v>1892</v>
      </c>
      <c r="S180" s="4" t="s">
        <v>127</v>
      </c>
      <c r="T180" s="4" t="s">
        <v>1893</v>
      </c>
      <c r="U180" s="4" t="s">
        <v>406</v>
      </c>
      <c r="V180" s="4" t="s">
        <v>138</v>
      </c>
      <c r="W180" s="4" t="s">
        <v>98</v>
      </c>
      <c r="X180" s="4" t="s">
        <v>70</v>
      </c>
      <c r="Y180" s="4"/>
    </row>
    <row r="181" spans="1:25" ht="54.7">
      <c r="A181" s="4" t="s">
        <v>1894</v>
      </c>
      <c r="B181" s="4" t="s">
        <v>1761</v>
      </c>
      <c r="C181" s="4" t="s">
        <v>1762</v>
      </c>
      <c r="D181" s="4" t="s">
        <v>1895</v>
      </c>
      <c r="E181" s="4" t="s">
        <v>126</v>
      </c>
      <c r="F181" s="4" t="s">
        <v>127</v>
      </c>
      <c r="G181" s="4" t="s">
        <v>396</v>
      </c>
      <c r="H181" s="4" t="s">
        <v>1896</v>
      </c>
      <c r="I181" s="4" t="s">
        <v>1897</v>
      </c>
      <c r="J181" s="4" t="s">
        <v>1898</v>
      </c>
      <c r="K181" s="4" t="s">
        <v>1899</v>
      </c>
      <c r="L181" s="4" t="s">
        <v>8</v>
      </c>
      <c r="M181" s="4" t="s">
        <v>59</v>
      </c>
      <c r="N181" s="4" t="s">
        <v>60</v>
      </c>
      <c r="O181" s="4" t="s">
        <v>1890</v>
      </c>
      <c r="P181" s="4" t="s">
        <v>1891</v>
      </c>
      <c r="Q181" s="4" t="s">
        <v>675</v>
      </c>
      <c r="R181" s="4" t="s">
        <v>1900</v>
      </c>
      <c r="S181" s="4" t="s">
        <v>127</v>
      </c>
      <c r="T181" s="4" t="s">
        <v>1893</v>
      </c>
      <c r="U181" s="4" t="s">
        <v>406</v>
      </c>
      <c r="V181" s="4" t="s">
        <v>138</v>
      </c>
      <c r="W181" s="4" t="s">
        <v>98</v>
      </c>
      <c r="X181" s="4" t="s">
        <v>70</v>
      </c>
      <c r="Y181" s="4"/>
    </row>
    <row r="182" spans="1:25" ht="54.7">
      <c r="A182" s="4" t="s">
        <v>1901</v>
      </c>
      <c r="B182" s="4" t="s">
        <v>1761</v>
      </c>
      <c r="C182" s="4" t="s">
        <v>1762</v>
      </c>
      <c r="D182" s="4" t="s">
        <v>1902</v>
      </c>
      <c r="E182" s="4" t="s">
        <v>1852</v>
      </c>
      <c r="F182" s="4" t="s">
        <v>127</v>
      </c>
      <c r="G182" s="4" t="s">
        <v>1903</v>
      </c>
      <c r="H182" s="4" t="s">
        <v>1904</v>
      </c>
      <c r="I182" s="4" t="s">
        <v>1905</v>
      </c>
      <c r="J182" s="4" t="s">
        <v>1906</v>
      </c>
      <c r="K182" s="4" t="s">
        <v>1907</v>
      </c>
      <c r="L182" s="4" t="s">
        <v>8</v>
      </c>
      <c r="M182" s="4" t="s">
        <v>59</v>
      </c>
      <c r="N182" s="4" t="s">
        <v>60</v>
      </c>
      <c r="O182" s="4" t="s">
        <v>1846</v>
      </c>
      <c r="P182" s="4" t="s">
        <v>1908</v>
      </c>
      <c r="Q182" s="4" t="s">
        <v>1909</v>
      </c>
      <c r="R182" s="4" t="s">
        <v>1902</v>
      </c>
      <c r="S182" s="4" t="s">
        <v>1910</v>
      </c>
      <c r="T182" s="4" t="s">
        <v>1911</v>
      </c>
      <c r="U182" s="4" t="s">
        <v>1912</v>
      </c>
      <c r="V182" s="4" t="s">
        <v>138</v>
      </c>
      <c r="W182" s="4" t="s">
        <v>98</v>
      </c>
      <c r="X182" s="4" t="s">
        <v>70</v>
      </c>
      <c r="Y182" s="4"/>
    </row>
    <row r="183" spans="1:25" ht="54.7">
      <c r="A183" s="4" t="s">
        <v>1913</v>
      </c>
      <c r="B183" s="4" t="s">
        <v>1761</v>
      </c>
      <c r="C183" s="4" t="s">
        <v>1762</v>
      </c>
      <c r="D183" s="4" t="s">
        <v>1914</v>
      </c>
      <c r="E183" s="4" t="s">
        <v>141</v>
      </c>
      <c r="F183" s="4" t="s">
        <v>142</v>
      </c>
      <c r="G183" s="4" t="s">
        <v>1903</v>
      </c>
      <c r="H183" s="4" t="s">
        <v>1915</v>
      </c>
      <c r="I183" s="4" t="s">
        <v>1916</v>
      </c>
      <c r="J183" s="4" t="s">
        <v>1917</v>
      </c>
      <c r="K183" s="4" t="s">
        <v>1918</v>
      </c>
      <c r="L183" s="4" t="s">
        <v>8</v>
      </c>
      <c r="M183" s="4" t="s">
        <v>1919</v>
      </c>
      <c r="N183" s="4" t="s">
        <v>60</v>
      </c>
      <c r="O183" s="4" t="s">
        <v>127</v>
      </c>
      <c r="P183" s="4" t="s">
        <v>1908</v>
      </c>
      <c r="Q183" s="4" t="s">
        <v>1920</v>
      </c>
      <c r="R183" s="4" t="s">
        <v>1921</v>
      </c>
      <c r="S183" s="4" t="s">
        <v>127</v>
      </c>
      <c r="T183" s="4" t="s">
        <v>1922</v>
      </c>
      <c r="U183" s="4" t="s">
        <v>1923</v>
      </c>
      <c r="V183" s="4" t="s">
        <v>138</v>
      </c>
      <c r="W183" s="4" t="s">
        <v>98</v>
      </c>
      <c r="X183" s="4" t="s">
        <v>70</v>
      </c>
      <c r="Y183" s="4"/>
    </row>
    <row r="184" spans="1:25" ht="54.7">
      <c r="A184" s="4" t="s">
        <v>1924</v>
      </c>
      <c r="B184" s="4" t="s">
        <v>1761</v>
      </c>
      <c r="C184" s="4" t="s">
        <v>1762</v>
      </c>
      <c r="D184" s="4" t="s">
        <v>1925</v>
      </c>
      <c r="E184" s="4" t="s">
        <v>1926</v>
      </c>
      <c r="F184" s="4" t="s">
        <v>174</v>
      </c>
      <c r="G184" s="4" t="s">
        <v>1927</v>
      </c>
      <c r="H184" s="4" t="s">
        <v>1928</v>
      </c>
      <c r="I184" s="4" t="s">
        <v>1929</v>
      </c>
      <c r="J184" s="4" t="s">
        <v>1930</v>
      </c>
      <c r="K184" s="4" t="s">
        <v>1931</v>
      </c>
      <c r="L184" s="4" t="s">
        <v>8</v>
      </c>
      <c r="M184" s="4" t="s">
        <v>168</v>
      </c>
      <c r="N184" s="4" t="s">
        <v>60</v>
      </c>
      <c r="O184" s="4" t="s">
        <v>1932</v>
      </c>
      <c r="P184" s="4" t="s">
        <v>1933</v>
      </c>
      <c r="Q184" s="4" t="s">
        <v>1800</v>
      </c>
      <c r="R184" s="4" t="s">
        <v>1934</v>
      </c>
      <c r="S184" s="4" t="s">
        <v>65</v>
      </c>
      <c r="T184" s="4" t="s">
        <v>1935</v>
      </c>
      <c r="U184" s="4" t="s">
        <v>1936</v>
      </c>
      <c r="V184" s="4" t="s">
        <v>97</v>
      </c>
      <c r="W184" s="4" t="s">
        <v>98</v>
      </c>
      <c r="X184" s="4" t="s">
        <v>70</v>
      </c>
      <c r="Y184" s="4"/>
    </row>
    <row r="185" spans="1:25" ht="54.7">
      <c r="A185" s="4" t="s">
        <v>1937</v>
      </c>
      <c r="B185" s="4" t="s">
        <v>1761</v>
      </c>
      <c r="C185" s="4" t="s">
        <v>1762</v>
      </c>
      <c r="D185" s="4" t="s">
        <v>1938</v>
      </c>
      <c r="E185" s="4" t="s">
        <v>126</v>
      </c>
      <c r="F185" s="4" t="s">
        <v>127</v>
      </c>
      <c r="G185" s="4" t="s">
        <v>1939</v>
      </c>
      <c r="H185" s="4" t="s">
        <v>1940</v>
      </c>
      <c r="I185" s="4" t="s">
        <v>1941</v>
      </c>
      <c r="J185" s="4" t="s">
        <v>1942</v>
      </c>
      <c r="K185" s="4" t="s">
        <v>1943</v>
      </c>
      <c r="L185" s="4" t="s">
        <v>8</v>
      </c>
      <c r="M185" s="4" t="s">
        <v>59</v>
      </c>
      <c r="N185" s="4" t="s">
        <v>60</v>
      </c>
      <c r="O185" s="4" t="s">
        <v>1944</v>
      </c>
      <c r="P185" s="4" t="s">
        <v>1945</v>
      </c>
      <c r="Q185" s="4" t="s">
        <v>403</v>
      </c>
      <c r="R185" s="4" t="s">
        <v>1946</v>
      </c>
      <c r="S185" s="4" t="s">
        <v>127</v>
      </c>
      <c r="T185" s="4" t="s">
        <v>1947</v>
      </c>
      <c r="U185" s="4" t="s">
        <v>1948</v>
      </c>
      <c r="V185" s="4" t="s">
        <v>97</v>
      </c>
      <c r="W185" s="4" t="s">
        <v>98</v>
      </c>
      <c r="X185" s="4" t="s">
        <v>70</v>
      </c>
      <c r="Y185" s="4"/>
    </row>
    <row r="186" spans="1:25" ht="68.349999999999994">
      <c r="A186" s="4" t="s">
        <v>1949</v>
      </c>
      <c r="B186" s="4" t="s">
        <v>1761</v>
      </c>
      <c r="C186" s="4" t="s">
        <v>1762</v>
      </c>
      <c r="D186" s="4" t="s">
        <v>1950</v>
      </c>
      <c r="E186" s="4" t="s">
        <v>126</v>
      </c>
      <c r="F186" s="4" t="s">
        <v>127</v>
      </c>
      <c r="G186" s="4" t="s">
        <v>128</v>
      </c>
      <c r="H186" s="4" t="s">
        <v>1951</v>
      </c>
      <c r="I186" s="4" t="s">
        <v>1952</v>
      </c>
      <c r="J186" s="4" t="s">
        <v>1953</v>
      </c>
      <c r="K186" s="4" t="s">
        <v>1954</v>
      </c>
      <c r="L186" s="4" t="s">
        <v>8</v>
      </c>
      <c r="M186" s="4" t="s">
        <v>59</v>
      </c>
      <c r="N186" s="4" t="s">
        <v>60</v>
      </c>
      <c r="O186" s="4" t="s">
        <v>1955</v>
      </c>
      <c r="P186" s="4" t="s">
        <v>1956</v>
      </c>
      <c r="Q186" s="4" t="s">
        <v>403</v>
      </c>
      <c r="R186" s="4" t="s">
        <v>1957</v>
      </c>
      <c r="S186" s="4" t="s">
        <v>127</v>
      </c>
      <c r="T186" s="4" t="s">
        <v>1958</v>
      </c>
      <c r="U186" s="4" t="s">
        <v>1959</v>
      </c>
      <c r="V186" s="4" t="s">
        <v>97</v>
      </c>
      <c r="W186" s="4" t="s">
        <v>98</v>
      </c>
      <c r="X186" s="4" t="s">
        <v>70</v>
      </c>
      <c r="Y186" s="4"/>
    </row>
    <row r="187" spans="1:25" ht="54.7">
      <c r="A187" s="4" t="s">
        <v>1960</v>
      </c>
      <c r="B187" s="4" t="s">
        <v>1961</v>
      </c>
      <c r="C187" s="4" t="s">
        <v>1962</v>
      </c>
      <c r="D187" s="4" t="s">
        <v>1963</v>
      </c>
      <c r="E187" s="4" t="s">
        <v>73</v>
      </c>
      <c r="F187" s="4" t="s">
        <v>74</v>
      </c>
      <c r="G187" s="4" t="s">
        <v>54</v>
      </c>
      <c r="H187" s="4" t="s">
        <v>1964</v>
      </c>
      <c r="I187" s="4" t="s">
        <v>1965</v>
      </c>
      <c r="J187" s="4" t="s">
        <v>1966</v>
      </c>
      <c r="K187" s="4" t="s">
        <v>1967</v>
      </c>
      <c r="L187" s="4" t="s">
        <v>8</v>
      </c>
      <c r="M187" s="4" t="s">
        <v>59</v>
      </c>
      <c r="N187" s="4" t="s">
        <v>60</v>
      </c>
      <c r="O187" s="4" t="s">
        <v>1968</v>
      </c>
      <c r="P187" s="4" t="s">
        <v>1969</v>
      </c>
      <c r="Q187" s="4" t="s">
        <v>80</v>
      </c>
      <c r="R187" s="4" t="s">
        <v>870</v>
      </c>
      <c r="S187" s="4" t="s">
        <v>65</v>
      </c>
      <c r="T187" s="4" t="s">
        <v>1970</v>
      </c>
      <c r="U187" s="4" t="s">
        <v>1971</v>
      </c>
      <c r="V187" s="4" t="s">
        <v>655</v>
      </c>
      <c r="W187" s="4" t="s">
        <v>784</v>
      </c>
      <c r="X187" s="4" t="s">
        <v>70</v>
      </c>
      <c r="Y187" s="4"/>
    </row>
    <row r="188" spans="1:25" ht="54.7">
      <c r="A188" s="4" t="s">
        <v>1972</v>
      </c>
      <c r="B188" s="4" t="s">
        <v>1961</v>
      </c>
      <c r="C188" s="4" t="s">
        <v>1962</v>
      </c>
      <c r="D188" s="4" t="s">
        <v>1973</v>
      </c>
      <c r="E188" s="4" t="s">
        <v>863</v>
      </c>
      <c r="F188" s="4" t="s">
        <v>74</v>
      </c>
      <c r="G188" s="4" t="s">
        <v>853</v>
      </c>
      <c r="H188" s="4" t="s">
        <v>1974</v>
      </c>
      <c r="I188" s="4" t="s">
        <v>1975</v>
      </c>
      <c r="J188" s="4" t="s">
        <v>1976</v>
      </c>
      <c r="K188" s="4" t="s">
        <v>1977</v>
      </c>
      <c r="L188" s="4" t="s">
        <v>8</v>
      </c>
      <c r="M188" s="4" t="s">
        <v>59</v>
      </c>
      <c r="N188" s="4" t="s">
        <v>60</v>
      </c>
      <c r="O188" s="4" t="s">
        <v>1978</v>
      </c>
      <c r="P188" s="4" t="s">
        <v>1969</v>
      </c>
      <c r="Q188" s="4" t="s">
        <v>80</v>
      </c>
      <c r="R188" s="4" t="s">
        <v>870</v>
      </c>
      <c r="S188" s="4" t="s">
        <v>65</v>
      </c>
      <c r="T188" s="4" t="s">
        <v>1970</v>
      </c>
      <c r="U188" s="4" t="s">
        <v>1971</v>
      </c>
      <c r="V188" s="4" t="s">
        <v>655</v>
      </c>
      <c r="W188" s="4" t="s">
        <v>784</v>
      </c>
      <c r="X188" s="4" t="s">
        <v>70</v>
      </c>
      <c r="Y188" s="4"/>
    </row>
    <row r="189" spans="1:25" ht="54.7">
      <c r="A189" s="4" t="s">
        <v>1979</v>
      </c>
      <c r="B189" s="4" t="s">
        <v>1961</v>
      </c>
      <c r="C189" s="4" t="s">
        <v>1962</v>
      </c>
      <c r="D189" s="4" t="s">
        <v>1980</v>
      </c>
      <c r="E189" s="4" t="s">
        <v>190</v>
      </c>
      <c r="F189" s="4" t="s">
        <v>191</v>
      </c>
      <c r="G189" s="4" t="s">
        <v>776</v>
      </c>
      <c r="H189" s="4" t="s">
        <v>1981</v>
      </c>
      <c r="I189" s="4" t="s">
        <v>1982</v>
      </c>
      <c r="J189" s="4" t="s">
        <v>1983</v>
      </c>
      <c r="K189" s="4" t="s">
        <v>1984</v>
      </c>
      <c r="L189" s="4" t="s">
        <v>8</v>
      </c>
      <c r="M189" s="4" t="s">
        <v>59</v>
      </c>
      <c r="N189" s="4" t="s">
        <v>60</v>
      </c>
      <c r="O189" s="4" t="s">
        <v>1985</v>
      </c>
      <c r="P189" s="4" t="s">
        <v>1969</v>
      </c>
      <c r="Q189" s="4" t="s">
        <v>80</v>
      </c>
      <c r="R189" s="4" t="s">
        <v>1986</v>
      </c>
      <c r="S189" s="4" t="s">
        <v>65</v>
      </c>
      <c r="T189" s="4" t="s">
        <v>1987</v>
      </c>
      <c r="U189" s="4" t="s">
        <v>1971</v>
      </c>
      <c r="V189" s="4" t="s">
        <v>1988</v>
      </c>
      <c r="W189" s="4" t="s">
        <v>784</v>
      </c>
      <c r="X189" s="4" t="s">
        <v>70</v>
      </c>
      <c r="Y189" s="4"/>
    </row>
    <row r="190" spans="1:25" ht="54.7">
      <c r="A190" s="4" t="s">
        <v>1989</v>
      </c>
      <c r="B190" s="4" t="s">
        <v>1961</v>
      </c>
      <c r="C190" s="4" t="s">
        <v>1962</v>
      </c>
      <c r="D190" s="4" t="s">
        <v>1990</v>
      </c>
      <c r="E190" s="4" t="s">
        <v>52</v>
      </c>
      <c r="F190" s="4" t="s">
        <v>53</v>
      </c>
      <c r="G190" s="4" t="s">
        <v>102</v>
      </c>
      <c r="H190" s="4" t="s">
        <v>1991</v>
      </c>
      <c r="I190" s="4" t="s">
        <v>1992</v>
      </c>
      <c r="J190" s="4" t="s">
        <v>1993</v>
      </c>
      <c r="K190" s="4" t="s">
        <v>1994</v>
      </c>
      <c r="L190" s="4" t="s">
        <v>8</v>
      </c>
      <c r="M190" s="4" t="s">
        <v>59</v>
      </c>
      <c r="N190" s="4" t="s">
        <v>60</v>
      </c>
      <c r="O190" s="4" t="s">
        <v>1995</v>
      </c>
      <c r="P190" s="4" t="s">
        <v>1969</v>
      </c>
      <c r="Q190" s="4" t="s">
        <v>80</v>
      </c>
      <c r="R190" s="4" t="s">
        <v>807</v>
      </c>
      <c r="S190" s="4" t="s">
        <v>65</v>
      </c>
      <c r="T190" s="4" t="s">
        <v>1970</v>
      </c>
      <c r="U190" s="4" t="s">
        <v>1971</v>
      </c>
      <c r="V190" s="4" t="s">
        <v>655</v>
      </c>
      <c r="W190" s="4" t="s">
        <v>784</v>
      </c>
      <c r="X190" s="4" t="s">
        <v>70</v>
      </c>
      <c r="Y190" s="4"/>
    </row>
    <row r="191" spans="1:25" ht="54.7">
      <c r="A191" s="4" t="s">
        <v>1996</v>
      </c>
      <c r="B191" s="4" t="s">
        <v>1961</v>
      </c>
      <c r="C191" s="4" t="s">
        <v>1962</v>
      </c>
      <c r="D191" s="4" t="s">
        <v>1997</v>
      </c>
      <c r="E191" s="4" t="s">
        <v>101</v>
      </c>
      <c r="F191" s="4" t="s">
        <v>101</v>
      </c>
      <c r="G191" s="4" t="s">
        <v>853</v>
      </c>
      <c r="H191" s="4" t="s">
        <v>1998</v>
      </c>
      <c r="I191" s="4" t="s">
        <v>1999</v>
      </c>
      <c r="J191" s="4" t="s">
        <v>2000</v>
      </c>
      <c r="K191" s="4" t="s">
        <v>2001</v>
      </c>
      <c r="L191" s="4" t="s">
        <v>11</v>
      </c>
      <c r="M191" s="4" t="s">
        <v>168</v>
      </c>
      <c r="N191" s="4" t="s">
        <v>169</v>
      </c>
      <c r="O191" s="4" t="s">
        <v>2002</v>
      </c>
      <c r="P191" s="4" t="s">
        <v>1969</v>
      </c>
      <c r="Q191" s="4" t="s">
        <v>639</v>
      </c>
      <c r="R191" s="4" t="s">
        <v>2003</v>
      </c>
      <c r="S191" s="4" t="s">
        <v>65</v>
      </c>
      <c r="T191" s="4" t="s">
        <v>1424</v>
      </c>
      <c r="U191" s="4" t="s">
        <v>2004</v>
      </c>
      <c r="V191" s="4" t="s">
        <v>655</v>
      </c>
      <c r="W191" s="4" t="s">
        <v>784</v>
      </c>
      <c r="X191" s="4" t="s">
        <v>70</v>
      </c>
      <c r="Y191" s="4"/>
    </row>
    <row r="192" spans="1:25" ht="54.7">
      <c r="A192" s="4" t="s">
        <v>2005</v>
      </c>
      <c r="B192" s="4" t="s">
        <v>1961</v>
      </c>
      <c r="C192" s="4" t="s">
        <v>1962</v>
      </c>
      <c r="D192" s="4" t="s">
        <v>2006</v>
      </c>
      <c r="E192" s="4" t="s">
        <v>2007</v>
      </c>
      <c r="F192" s="4" t="s">
        <v>353</v>
      </c>
      <c r="G192" s="4" t="s">
        <v>776</v>
      </c>
      <c r="H192" s="4" t="s">
        <v>2008</v>
      </c>
      <c r="I192" s="4" t="s">
        <v>2009</v>
      </c>
      <c r="J192" s="4" t="s">
        <v>2010</v>
      </c>
      <c r="K192" s="4" t="s">
        <v>2011</v>
      </c>
      <c r="L192" s="4" t="s">
        <v>11</v>
      </c>
      <c r="M192" s="4" t="s">
        <v>168</v>
      </c>
      <c r="N192" s="4" t="s">
        <v>169</v>
      </c>
      <c r="O192" s="4" t="s">
        <v>2012</v>
      </c>
      <c r="P192" s="4" t="s">
        <v>1969</v>
      </c>
      <c r="Q192" s="4" t="s">
        <v>2013</v>
      </c>
      <c r="R192" s="4" t="s">
        <v>2014</v>
      </c>
      <c r="S192" s="4" t="s">
        <v>65</v>
      </c>
      <c r="T192" s="4" t="s">
        <v>2015</v>
      </c>
      <c r="U192" s="4" t="s">
        <v>520</v>
      </c>
      <c r="V192" s="4" t="s">
        <v>97</v>
      </c>
      <c r="W192" s="4" t="s">
        <v>784</v>
      </c>
      <c r="X192" s="4" t="s">
        <v>70</v>
      </c>
      <c r="Y192" s="4"/>
    </row>
    <row r="193" spans="1:25" ht="54.7">
      <c r="A193" s="4" t="s">
        <v>2016</v>
      </c>
      <c r="B193" s="4" t="s">
        <v>1961</v>
      </c>
      <c r="C193" s="4" t="s">
        <v>1962</v>
      </c>
      <c r="D193" s="4" t="s">
        <v>2017</v>
      </c>
      <c r="E193" s="4" t="s">
        <v>73</v>
      </c>
      <c r="F193" s="4" t="s">
        <v>74</v>
      </c>
      <c r="G193" s="4" t="s">
        <v>54</v>
      </c>
      <c r="H193" s="4" t="s">
        <v>2018</v>
      </c>
      <c r="I193" s="4" t="s">
        <v>2019</v>
      </c>
      <c r="J193" s="4" t="s">
        <v>2020</v>
      </c>
      <c r="K193" s="4" t="s">
        <v>2021</v>
      </c>
      <c r="L193" s="4" t="s">
        <v>8</v>
      </c>
      <c r="M193" s="4" t="s">
        <v>59</v>
      </c>
      <c r="N193" s="4" t="s">
        <v>60</v>
      </c>
      <c r="O193" s="4" t="s">
        <v>2022</v>
      </c>
      <c r="P193" s="4" t="s">
        <v>673</v>
      </c>
      <c r="Q193" s="4" t="s">
        <v>80</v>
      </c>
      <c r="R193" s="4" t="s">
        <v>613</v>
      </c>
      <c r="S193" s="4" t="s">
        <v>65</v>
      </c>
      <c r="T193" s="4" t="s">
        <v>850</v>
      </c>
      <c r="U193" s="4" t="s">
        <v>2023</v>
      </c>
      <c r="V193" s="4" t="s">
        <v>2024</v>
      </c>
      <c r="W193" s="4" t="s">
        <v>784</v>
      </c>
      <c r="X193" s="4" t="s">
        <v>70</v>
      </c>
      <c r="Y193" s="4"/>
    </row>
    <row r="194" spans="1:25" ht="54.7">
      <c r="A194" s="4" t="s">
        <v>2025</v>
      </c>
      <c r="B194" s="4" t="s">
        <v>1961</v>
      </c>
      <c r="C194" s="4" t="s">
        <v>1962</v>
      </c>
      <c r="D194" s="4" t="s">
        <v>2026</v>
      </c>
      <c r="E194" s="4" t="s">
        <v>190</v>
      </c>
      <c r="F194" s="4" t="s">
        <v>191</v>
      </c>
      <c r="G194" s="4" t="s">
        <v>776</v>
      </c>
      <c r="H194" s="4" t="s">
        <v>2027</v>
      </c>
      <c r="I194" s="4" t="s">
        <v>2028</v>
      </c>
      <c r="J194" s="4" t="s">
        <v>2029</v>
      </c>
      <c r="K194" s="4" t="s">
        <v>2030</v>
      </c>
      <c r="L194" s="4" t="s">
        <v>8</v>
      </c>
      <c r="M194" s="4" t="s">
        <v>59</v>
      </c>
      <c r="N194" s="4" t="s">
        <v>60</v>
      </c>
      <c r="O194" s="4" t="s">
        <v>474</v>
      </c>
      <c r="P194" s="4" t="s">
        <v>2031</v>
      </c>
      <c r="Q194" s="4" t="s">
        <v>80</v>
      </c>
      <c r="R194" s="4" t="s">
        <v>613</v>
      </c>
      <c r="S194" s="4" t="s">
        <v>65</v>
      </c>
      <c r="T194" s="4" t="s">
        <v>2032</v>
      </c>
      <c r="U194" s="4" t="s">
        <v>850</v>
      </c>
      <c r="V194" s="4" t="s">
        <v>138</v>
      </c>
      <c r="W194" s="4" t="s">
        <v>784</v>
      </c>
      <c r="X194" s="4" t="s">
        <v>70</v>
      </c>
      <c r="Y194" s="4"/>
    </row>
    <row r="195" spans="1:25" ht="54.7">
      <c r="A195" s="4" t="s">
        <v>2033</v>
      </c>
      <c r="B195" s="4" t="s">
        <v>1961</v>
      </c>
      <c r="C195" s="4" t="s">
        <v>1962</v>
      </c>
      <c r="D195" s="4" t="s">
        <v>2034</v>
      </c>
      <c r="E195" s="4" t="s">
        <v>190</v>
      </c>
      <c r="F195" s="4" t="s">
        <v>191</v>
      </c>
      <c r="G195" s="4" t="s">
        <v>784</v>
      </c>
      <c r="H195" s="4" t="s">
        <v>2035</v>
      </c>
      <c r="I195" s="4" t="s">
        <v>2036</v>
      </c>
      <c r="J195" s="4" t="s">
        <v>2037</v>
      </c>
      <c r="K195" s="4" t="s">
        <v>2038</v>
      </c>
      <c r="L195" s="4" t="s">
        <v>8</v>
      </c>
      <c r="M195" s="4" t="s">
        <v>59</v>
      </c>
      <c r="N195" s="4" t="s">
        <v>60</v>
      </c>
      <c r="O195" s="4" t="s">
        <v>1102</v>
      </c>
      <c r="P195" s="4" t="s">
        <v>1297</v>
      </c>
      <c r="Q195" s="4" t="s">
        <v>80</v>
      </c>
      <c r="R195" s="4" t="s">
        <v>2039</v>
      </c>
      <c r="S195" s="4" t="s">
        <v>65</v>
      </c>
      <c r="T195" s="4" t="s">
        <v>2040</v>
      </c>
      <c r="U195" s="4" t="s">
        <v>1483</v>
      </c>
      <c r="V195" s="4" t="s">
        <v>138</v>
      </c>
      <c r="W195" s="4" t="s">
        <v>784</v>
      </c>
      <c r="X195" s="4" t="s">
        <v>70</v>
      </c>
      <c r="Y195" s="4"/>
    </row>
    <row r="196" spans="1:25" ht="54.7">
      <c r="A196" s="4" t="s">
        <v>2041</v>
      </c>
      <c r="B196" s="4" t="s">
        <v>1961</v>
      </c>
      <c r="C196" s="4" t="s">
        <v>1962</v>
      </c>
      <c r="D196" s="4" t="s">
        <v>2042</v>
      </c>
      <c r="E196" s="4" t="s">
        <v>190</v>
      </c>
      <c r="F196" s="4" t="s">
        <v>191</v>
      </c>
      <c r="G196" s="4" t="s">
        <v>784</v>
      </c>
      <c r="H196" s="4" t="s">
        <v>2043</v>
      </c>
      <c r="I196" s="4" t="s">
        <v>2044</v>
      </c>
      <c r="J196" s="4" t="s">
        <v>2045</v>
      </c>
      <c r="K196" s="4" t="s">
        <v>2046</v>
      </c>
      <c r="L196" s="4" t="s">
        <v>8</v>
      </c>
      <c r="M196" s="4" t="s">
        <v>59</v>
      </c>
      <c r="N196" s="4" t="s">
        <v>60</v>
      </c>
      <c r="O196" s="4" t="s">
        <v>2047</v>
      </c>
      <c r="P196" s="4" t="s">
        <v>1297</v>
      </c>
      <c r="Q196" s="4" t="s">
        <v>80</v>
      </c>
      <c r="R196" s="4" t="s">
        <v>2048</v>
      </c>
      <c r="S196" s="4" t="s">
        <v>65</v>
      </c>
      <c r="T196" s="4" t="s">
        <v>552</v>
      </c>
      <c r="U196" s="4" t="s">
        <v>1559</v>
      </c>
      <c r="V196" s="4" t="s">
        <v>138</v>
      </c>
      <c r="W196" s="4" t="s">
        <v>784</v>
      </c>
      <c r="X196" s="4" t="s">
        <v>70</v>
      </c>
      <c r="Y196" s="4"/>
    </row>
    <row r="197" spans="1:25" ht="54.7">
      <c r="A197" s="4" t="s">
        <v>2049</v>
      </c>
      <c r="B197" s="4" t="s">
        <v>1961</v>
      </c>
      <c r="C197" s="4" t="s">
        <v>1962</v>
      </c>
      <c r="D197" s="4" t="s">
        <v>1129</v>
      </c>
      <c r="E197" s="4" t="s">
        <v>190</v>
      </c>
      <c r="F197" s="4" t="s">
        <v>191</v>
      </c>
      <c r="G197" s="4" t="s">
        <v>784</v>
      </c>
      <c r="H197" s="4" t="s">
        <v>2050</v>
      </c>
      <c r="I197" s="4" t="s">
        <v>2051</v>
      </c>
      <c r="J197" s="4" t="s">
        <v>2052</v>
      </c>
      <c r="K197" s="4" t="s">
        <v>2053</v>
      </c>
      <c r="L197" s="4" t="s">
        <v>11</v>
      </c>
      <c r="M197" s="4" t="s">
        <v>168</v>
      </c>
      <c r="N197" s="4" t="s">
        <v>169</v>
      </c>
      <c r="O197" s="4" t="s">
        <v>2054</v>
      </c>
      <c r="P197" s="4" t="s">
        <v>2055</v>
      </c>
      <c r="Q197" s="4" t="s">
        <v>80</v>
      </c>
      <c r="R197" s="4" t="s">
        <v>1298</v>
      </c>
      <c r="S197" s="4" t="s">
        <v>65</v>
      </c>
      <c r="T197" s="4" t="s">
        <v>2056</v>
      </c>
      <c r="U197" s="4" t="s">
        <v>2057</v>
      </c>
      <c r="V197" s="4" t="s">
        <v>138</v>
      </c>
      <c r="W197" s="4" t="s">
        <v>784</v>
      </c>
      <c r="X197" s="4" t="s">
        <v>70</v>
      </c>
      <c r="Y197" s="4"/>
    </row>
    <row r="198" spans="1:25" ht="54.7">
      <c r="A198" s="4" t="s">
        <v>2058</v>
      </c>
      <c r="B198" s="4" t="s">
        <v>1961</v>
      </c>
      <c r="C198" s="4" t="s">
        <v>1962</v>
      </c>
      <c r="D198" s="4" t="s">
        <v>2059</v>
      </c>
      <c r="E198" s="4" t="s">
        <v>190</v>
      </c>
      <c r="F198" s="4" t="s">
        <v>191</v>
      </c>
      <c r="G198" s="4" t="s">
        <v>784</v>
      </c>
      <c r="H198" s="4" t="s">
        <v>2060</v>
      </c>
      <c r="I198" s="4" t="s">
        <v>2061</v>
      </c>
      <c r="J198" s="4" t="s">
        <v>2062</v>
      </c>
      <c r="K198" s="4" t="s">
        <v>2063</v>
      </c>
      <c r="L198" s="4" t="s">
        <v>14</v>
      </c>
      <c r="M198" s="4" t="s">
        <v>168</v>
      </c>
      <c r="N198" s="4" t="s">
        <v>169</v>
      </c>
      <c r="O198" s="4" t="s">
        <v>2064</v>
      </c>
      <c r="P198" s="4" t="s">
        <v>2055</v>
      </c>
      <c r="Q198" s="4" t="s">
        <v>80</v>
      </c>
      <c r="R198" s="4" t="s">
        <v>1298</v>
      </c>
      <c r="S198" s="4" t="s">
        <v>65</v>
      </c>
      <c r="T198" s="4" t="s">
        <v>2065</v>
      </c>
      <c r="U198" s="4" t="s">
        <v>1231</v>
      </c>
      <c r="V198" s="4" t="s">
        <v>138</v>
      </c>
      <c r="W198" s="4" t="s">
        <v>784</v>
      </c>
      <c r="X198" s="4" t="s">
        <v>70</v>
      </c>
      <c r="Y198" s="4"/>
    </row>
    <row r="199" spans="1:25" ht="54.7">
      <c r="A199" s="4" t="s">
        <v>2066</v>
      </c>
      <c r="B199" s="4" t="s">
        <v>1961</v>
      </c>
      <c r="C199" s="4" t="s">
        <v>1962</v>
      </c>
      <c r="D199" s="4" t="s">
        <v>2067</v>
      </c>
      <c r="E199" s="4" t="s">
        <v>479</v>
      </c>
      <c r="F199" s="4" t="s">
        <v>142</v>
      </c>
      <c r="G199" s="4" t="s">
        <v>784</v>
      </c>
      <c r="H199" s="4" t="s">
        <v>2068</v>
      </c>
      <c r="I199" s="4" t="s">
        <v>2069</v>
      </c>
      <c r="J199" s="4" t="s">
        <v>2070</v>
      </c>
      <c r="K199" s="4" t="s">
        <v>2071</v>
      </c>
      <c r="L199" s="4" t="s">
        <v>11</v>
      </c>
      <c r="M199" s="4" t="s">
        <v>59</v>
      </c>
      <c r="N199" s="4" t="s">
        <v>60</v>
      </c>
      <c r="O199" s="4" t="s">
        <v>2072</v>
      </c>
      <c r="P199" s="4" t="s">
        <v>2073</v>
      </c>
      <c r="Q199" s="4" t="s">
        <v>2074</v>
      </c>
      <c r="R199" s="4" t="s">
        <v>497</v>
      </c>
      <c r="S199" s="4" t="s">
        <v>65</v>
      </c>
      <c r="T199" s="4" t="s">
        <v>2075</v>
      </c>
      <c r="U199" s="4" t="s">
        <v>2076</v>
      </c>
      <c r="V199" s="4" t="s">
        <v>97</v>
      </c>
      <c r="W199" s="4" t="s">
        <v>784</v>
      </c>
      <c r="X199" s="4" t="s">
        <v>70</v>
      </c>
      <c r="Y199" s="4"/>
    </row>
    <row r="200" spans="1:25" ht="41">
      <c r="A200" s="4" t="s">
        <v>2077</v>
      </c>
      <c r="B200" s="4" t="s">
        <v>1961</v>
      </c>
      <c r="C200" s="4" t="s">
        <v>1962</v>
      </c>
      <c r="D200" s="4" t="s">
        <v>2078</v>
      </c>
      <c r="E200" s="4" t="s">
        <v>52</v>
      </c>
      <c r="F200" s="4" t="s">
        <v>53</v>
      </c>
      <c r="G200" s="4" t="s">
        <v>776</v>
      </c>
      <c r="H200" s="4" t="s">
        <v>2079</v>
      </c>
      <c r="I200" s="4" t="s">
        <v>2080</v>
      </c>
      <c r="J200" s="4" t="s">
        <v>2081</v>
      </c>
      <c r="K200" s="4" t="s">
        <v>2082</v>
      </c>
      <c r="L200" s="4" t="s">
        <v>8</v>
      </c>
      <c r="M200" s="4" t="s">
        <v>59</v>
      </c>
      <c r="N200" s="4" t="s">
        <v>60</v>
      </c>
      <c r="O200" s="4" t="s">
        <v>2083</v>
      </c>
      <c r="P200" s="4" t="s">
        <v>550</v>
      </c>
      <c r="Q200" s="4" t="s">
        <v>80</v>
      </c>
      <c r="R200" s="4" t="s">
        <v>2084</v>
      </c>
      <c r="S200" s="4" t="s">
        <v>65</v>
      </c>
      <c r="T200" s="4" t="s">
        <v>552</v>
      </c>
      <c r="U200" s="4" t="s">
        <v>1483</v>
      </c>
      <c r="V200" s="4" t="s">
        <v>138</v>
      </c>
      <c r="W200" s="4" t="s">
        <v>784</v>
      </c>
      <c r="X200" s="4" t="s">
        <v>70</v>
      </c>
      <c r="Y200" s="4"/>
    </row>
    <row r="201" spans="1:25" ht="54.7">
      <c r="A201" s="4" t="s">
        <v>2085</v>
      </c>
      <c r="B201" s="4" t="s">
        <v>1961</v>
      </c>
      <c r="C201" s="4" t="s">
        <v>1962</v>
      </c>
      <c r="D201" s="4" t="s">
        <v>2086</v>
      </c>
      <c r="E201" s="4" t="s">
        <v>2087</v>
      </c>
      <c r="F201" s="4" t="s">
        <v>353</v>
      </c>
      <c r="G201" s="4" t="s">
        <v>776</v>
      </c>
      <c r="H201" s="4" t="s">
        <v>2088</v>
      </c>
      <c r="I201" s="4" t="s">
        <v>2089</v>
      </c>
      <c r="J201" s="4" t="s">
        <v>2090</v>
      </c>
      <c r="K201" s="4" t="s">
        <v>2091</v>
      </c>
      <c r="L201" s="4" t="s">
        <v>8</v>
      </c>
      <c r="M201" s="4" t="s">
        <v>59</v>
      </c>
      <c r="N201" s="4" t="s">
        <v>60</v>
      </c>
      <c r="O201" s="4" t="s">
        <v>2092</v>
      </c>
      <c r="P201" s="4" t="s">
        <v>550</v>
      </c>
      <c r="Q201" s="4" t="s">
        <v>80</v>
      </c>
      <c r="R201" s="4" t="s">
        <v>2093</v>
      </c>
      <c r="S201" s="4" t="s">
        <v>65</v>
      </c>
      <c r="T201" s="4" t="s">
        <v>552</v>
      </c>
      <c r="U201" s="4" t="s">
        <v>553</v>
      </c>
      <c r="V201" s="4" t="s">
        <v>138</v>
      </c>
      <c r="W201" s="4" t="s">
        <v>784</v>
      </c>
      <c r="X201" s="4" t="s">
        <v>70</v>
      </c>
      <c r="Y201" s="4"/>
    </row>
    <row r="202" spans="1:25" ht="54.7">
      <c r="A202" s="4" t="s">
        <v>2094</v>
      </c>
      <c r="B202" s="4" t="s">
        <v>1961</v>
      </c>
      <c r="C202" s="4" t="s">
        <v>1962</v>
      </c>
      <c r="D202" s="4" t="s">
        <v>2095</v>
      </c>
      <c r="E202" s="4" t="s">
        <v>352</v>
      </c>
      <c r="F202" s="4" t="s">
        <v>353</v>
      </c>
      <c r="G202" s="4" t="s">
        <v>784</v>
      </c>
      <c r="H202" s="4" t="s">
        <v>2096</v>
      </c>
      <c r="I202" s="4" t="s">
        <v>2097</v>
      </c>
      <c r="J202" s="4" t="s">
        <v>2098</v>
      </c>
      <c r="K202" s="4" t="s">
        <v>2099</v>
      </c>
      <c r="L202" s="4" t="s">
        <v>17</v>
      </c>
      <c r="M202" s="4" t="s">
        <v>1710</v>
      </c>
      <c r="N202" s="4" t="s">
        <v>1710</v>
      </c>
      <c r="O202" s="4" t="s">
        <v>2100</v>
      </c>
      <c r="P202" s="4" t="s">
        <v>2101</v>
      </c>
      <c r="Q202" s="4" t="s">
        <v>2102</v>
      </c>
      <c r="R202" s="4" t="s">
        <v>2103</v>
      </c>
      <c r="S202" s="4" t="s">
        <v>2104</v>
      </c>
      <c r="T202" s="4" t="s">
        <v>675</v>
      </c>
      <c r="U202" s="4" t="s">
        <v>2105</v>
      </c>
      <c r="V202" s="4" t="s">
        <v>97</v>
      </c>
      <c r="W202" s="4" t="s">
        <v>142</v>
      </c>
      <c r="X202" s="4" t="s">
        <v>70</v>
      </c>
      <c r="Y202" s="4"/>
    </row>
    <row r="203" spans="1:25" ht="54.7">
      <c r="A203" s="4" t="s">
        <v>2106</v>
      </c>
      <c r="B203" s="4" t="s">
        <v>1961</v>
      </c>
      <c r="C203" s="4" t="s">
        <v>1962</v>
      </c>
      <c r="D203" s="4" t="s">
        <v>2107</v>
      </c>
      <c r="E203" s="4" t="s">
        <v>190</v>
      </c>
      <c r="F203" s="4" t="s">
        <v>191</v>
      </c>
      <c r="G203" s="4" t="s">
        <v>784</v>
      </c>
      <c r="H203" s="4" t="s">
        <v>2108</v>
      </c>
      <c r="I203" s="4" t="s">
        <v>2109</v>
      </c>
      <c r="J203" s="4" t="s">
        <v>2110</v>
      </c>
      <c r="K203" s="4" t="s">
        <v>2111</v>
      </c>
      <c r="L203" s="4" t="s">
        <v>14</v>
      </c>
      <c r="M203" s="4" t="s">
        <v>168</v>
      </c>
      <c r="N203" s="4" t="s">
        <v>169</v>
      </c>
      <c r="O203" s="4" t="s">
        <v>2083</v>
      </c>
      <c r="P203" s="4" t="s">
        <v>2112</v>
      </c>
      <c r="Q203" s="4" t="s">
        <v>2013</v>
      </c>
      <c r="R203" s="4" t="s">
        <v>2113</v>
      </c>
      <c r="S203" s="4" t="s">
        <v>65</v>
      </c>
      <c r="T203" s="4" t="s">
        <v>1376</v>
      </c>
      <c r="U203" s="4" t="s">
        <v>909</v>
      </c>
      <c r="V203" s="4" t="s">
        <v>97</v>
      </c>
      <c r="W203" s="4" t="s">
        <v>784</v>
      </c>
      <c r="X203" s="4" t="s">
        <v>70</v>
      </c>
      <c r="Y203" s="4"/>
    </row>
    <row r="204" spans="1:25" ht="54.7">
      <c r="A204" s="4" t="s">
        <v>2114</v>
      </c>
      <c r="B204" s="4" t="s">
        <v>1961</v>
      </c>
      <c r="C204" s="4" t="s">
        <v>1962</v>
      </c>
      <c r="D204" s="4" t="s">
        <v>2115</v>
      </c>
      <c r="E204" s="4" t="s">
        <v>190</v>
      </c>
      <c r="F204" s="4" t="s">
        <v>191</v>
      </c>
      <c r="G204" s="4" t="s">
        <v>776</v>
      </c>
      <c r="H204" s="4" t="s">
        <v>2116</v>
      </c>
      <c r="I204" s="4" t="s">
        <v>2117</v>
      </c>
      <c r="J204" s="4" t="s">
        <v>2118</v>
      </c>
      <c r="K204" s="4" t="s">
        <v>2119</v>
      </c>
      <c r="L204" s="4" t="s">
        <v>11</v>
      </c>
      <c r="M204" s="4" t="s">
        <v>59</v>
      </c>
      <c r="N204" s="4" t="s">
        <v>60</v>
      </c>
      <c r="O204" s="4" t="s">
        <v>2120</v>
      </c>
      <c r="P204" s="4" t="s">
        <v>2121</v>
      </c>
      <c r="Q204" s="4" t="s">
        <v>80</v>
      </c>
      <c r="R204" s="4" t="s">
        <v>2122</v>
      </c>
      <c r="S204" s="4" t="s">
        <v>65</v>
      </c>
      <c r="T204" s="4" t="s">
        <v>675</v>
      </c>
      <c r="U204" s="4" t="s">
        <v>2123</v>
      </c>
      <c r="V204" s="4" t="s">
        <v>97</v>
      </c>
      <c r="W204" s="4" t="s">
        <v>784</v>
      </c>
      <c r="X204" s="4" t="s">
        <v>70</v>
      </c>
      <c r="Y204" s="4"/>
    </row>
    <row r="205" spans="1:25" ht="54.7">
      <c r="A205" s="4" t="s">
        <v>2124</v>
      </c>
      <c r="B205" s="4" t="s">
        <v>2125</v>
      </c>
      <c r="C205" s="4" t="s">
        <v>2126</v>
      </c>
      <c r="D205" s="4" t="s">
        <v>2127</v>
      </c>
      <c r="E205" s="4" t="s">
        <v>177</v>
      </c>
      <c r="F205" s="4" t="s">
        <v>163</v>
      </c>
      <c r="G205" s="4" t="s">
        <v>178</v>
      </c>
      <c r="H205" s="4" t="s">
        <v>2128</v>
      </c>
      <c r="I205" s="4" t="s">
        <v>2129</v>
      </c>
      <c r="J205" s="4" t="s">
        <v>2130</v>
      </c>
      <c r="K205" s="4" t="s">
        <v>2131</v>
      </c>
      <c r="L205" s="4" t="s">
        <v>8</v>
      </c>
      <c r="M205" s="4" t="s">
        <v>59</v>
      </c>
      <c r="N205" s="4" t="s">
        <v>60</v>
      </c>
      <c r="O205" s="4" t="s">
        <v>573</v>
      </c>
      <c r="P205" s="4" t="s">
        <v>539</v>
      </c>
      <c r="Q205" s="4" t="s">
        <v>108</v>
      </c>
      <c r="R205" s="4" t="s">
        <v>2132</v>
      </c>
      <c r="S205" s="4" t="s">
        <v>65</v>
      </c>
      <c r="T205" s="4" t="s">
        <v>2133</v>
      </c>
      <c r="U205" s="4" t="s">
        <v>543</v>
      </c>
      <c r="V205" s="4" t="s">
        <v>97</v>
      </c>
      <c r="W205" s="4" t="s">
        <v>174</v>
      </c>
      <c r="X205" s="4" t="s">
        <v>70</v>
      </c>
      <c r="Y205" s="4"/>
    </row>
    <row r="206" spans="1:25" ht="54.7">
      <c r="A206" s="4" t="s">
        <v>2134</v>
      </c>
      <c r="B206" s="4" t="s">
        <v>2125</v>
      </c>
      <c r="C206" s="4" t="s">
        <v>2126</v>
      </c>
      <c r="D206" s="4" t="s">
        <v>2135</v>
      </c>
      <c r="E206" s="4" t="s">
        <v>177</v>
      </c>
      <c r="F206" s="4" t="s">
        <v>163</v>
      </c>
      <c r="G206" s="4" t="s">
        <v>178</v>
      </c>
      <c r="H206" s="4" t="s">
        <v>2136</v>
      </c>
      <c r="I206" s="4" t="s">
        <v>2137</v>
      </c>
      <c r="J206" s="4" t="s">
        <v>2138</v>
      </c>
      <c r="K206" s="4" t="s">
        <v>2139</v>
      </c>
      <c r="L206" s="4" t="s">
        <v>11</v>
      </c>
      <c r="M206" s="4" t="s">
        <v>59</v>
      </c>
      <c r="N206" s="4" t="s">
        <v>60</v>
      </c>
      <c r="O206" s="4" t="s">
        <v>593</v>
      </c>
      <c r="P206" s="4" t="s">
        <v>539</v>
      </c>
      <c r="Q206" s="4" t="s">
        <v>595</v>
      </c>
      <c r="R206" s="4" t="s">
        <v>2140</v>
      </c>
      <c r="S206" s="4" t="s">
        <v>65</v>
      </c>
      <c r="T206" s="4" t="s">
        <v>2133</v>
      </c>
      <c r="U206" s="4" t="s">
        <v>2141</v>
      </c>
      <c r="V206" s="4" t="s">
        <v>97</v>
      </c>
      <c r="W206" s="4" t="s">
        <v>174</v>
      </c>
      <c r="X206" s="4" t="s">
        <v>70</v>
      </c>
      <c r="Y206" s="4"/>
    </row>
    <row r="207" spans="1:25" ht="54.7">
      <c r="A207" s="4" t="s">
        <v>2142</v>
      </c>
      <c r="B207" s="4" t="s">
        <v>2125</v>
      </c>
      <c r="C207" s="4" t="s">
        <v>2126</v>
      </c>
      <c r="D207" s="4" t="s">
        <v>2143</v>
      </c>
      <c r="E207" s="4" t="s">
        <v>177</v>
      </c>
      <c r="F207" s="4" t="s">
        <v>163</v>
      </c>
      <c r="G207" s="4" t="s">
        <v>178</v>
      </c>
      <c r="H207" s="4" t="s">
        <v>2144</v>
      </c>
      <c r="I207" s="4" t="s">
        <v>2145</v>
      </c>
      <c r="J207" s="4" t="s">
        <v>2146</v>
      </c>
      <c r="K207" s="4" t="s">
        <v>2147</v>
      </c>
      <c r="L207" s="4" t="s">
        <v>11</v>
      </c>
      <c r="M207" s="4" t="s">
        <v>59</v>
      </c>
      <c r="N207" s="4" t="s">
        <v>60</v>
      </c>
      <c r="O207" s="4" t="s">
        <v>332</v>
      </c>
      <c r="P207" s="4" t="s">
        <v>539</v>
      </c>
      <c r="Q207" s="4" t="s">
        <v>2148</v>
      </c>
      <c r="R207" s="4" t="s">
        <v>2140</v>
      </c>
      <c r="S207" s="4" t="s">
        <v>65</v>
      </c>
      <c r="T207" s="4" t="s">
        <v>2133</v>
      </c>
      <c r="U207" s="4" t="s">
        <v>304</v>
      </c>
      <c r="V207" s="4" t="s">
        <v>97</v>
      </c>
      <c r="W207" s="4" t="s">
        <v>174</v>
      </c>
      <c r="X207" s="4" t="s">
        <v>70</v>
      </c>
      <c r="Y207" s="4"/>
    </row>
    <row r="208" spans="1:25" ht="54.7">
      <c r="A208" s="4" t="s">
        <v>2149</v>
      </c>
      <c r="B208" s="4" t="s">
        <v>2125</v>
      </c>
      <c r="C208" s="4" t="s">
        <v>2126</v>
      </c>
      <c r="D208" s="4" t="s">
        <v>2150</v>
      </c>
      <c r="E208" s="4" t="s">
        <v>177</v>
      </c>
      <c r="F208" s="4" t="s">
        <v>163</v>
      </c>
      <c r="G208" s="4" t="s">
        <v>178</v>
      </c>
      <c r="H208" s="4" t="s">
        <v>2151</v>
      </c>
      <c r="I208" s="4" t="s">
        <v>2152</v>
      </c>
      <c r="J208" s="4" t="s">
        <v>2153</v>
      </c>
      <c r="K208" s="4" t="s">
        <v>2154</v>
      </c>
      <c r="L208" s="4" t="s">
        <v>8</v>
      </c>
      <c r="M208" s="4" t="s">
        <v>59</v>
      </c>
      <c r="N208" s="4" t="s">
        <v>60</v>
      </c>
      <c r="O208" s="4" t="s">
        <v>2155</v>
      </c>
      <c r="P208" s="4" t="s">
        <v>539</v>
      </c>
      <c r="Q208" s="4" t="s">
        <v>63</v>
      </c>
      <c r="R208" s="4" t="s">
        <v>2156</v>
      </c>
      <c r="S208" s="4" t="s">
        <v>65</v>
      </c>
      <c r="T208" s="4" t="s">
        <v>2157</v>
      </c>
      <c r="U208" s="4" t="s">
        <v>543</v>
      </c>
      <c r="V208" s="4" t="s">
        <v>97</v>
      </c>
      <c r="W208" s="4" t="s">
        <v>174</v>
      </c>
      <c r="X208" s="4" t="s">
        <v>70</v>
      </c>
      <c r="Y208" s="4"/>
    </row>
    <row r="209" spans="1:25" ht="54.7">
      <c r="A209" s="4" t="s">
        <v>2158</v>
      </c>
      <c r="B209" s="4" t="s">
        <v>2125</v>
      </c>
      <c r="C209" s="4" t="s">
        <v>2126</v>
      </c>
      <c r="D209" s="4" t="s">
        <v>2159</v>
      </c>
      <c r="E209" s="4" t="s">
        <v>177</v>
      </c>
      <c r="F209" s="4" t="s">
        <v>163</v>
      </c>
      <c r="G209" s="4" t="s">
        <v>178</v>
      </c>
      <c r="H209" s="4" t="s">
        <v>2160</v>
      </c>
      <c r="I209" s="4" t="s">
        <v>2161</v>
      </c>
      <c r="J209" s="4" t="s">
        <v>2162</v>
      </c>
      <c r="K209" s="4" t="s">
        <v>2163</v>
      </c>
      <c r="L209" s="4" t="s">
        <v>8</v>
      </c>
      <c r="M209" s="4" t="s">
        <v>59</v>
      </c>
      <c r="N209" s="4" t="s">
        <v>60</v>
      </c>
      <c r="O209" s="4" t="s">
        <v>506</v>
      </c>
      <c r="P209" s="4" t="s">
        <v>539</v>
      </c>
      <c r="Q209" s="4" t="s">
        <v>63</v>
      </c>
      <c r="R209" s="4" t="s">
        <v>2164</v>
      </c>
      <c r="S209" s="4" t="s">
        <v>65</v>
      </c>
      <c r="T209" s="4" t="s">
        <v>509</v>
      </c>
      <c r="U209" s="4" t="s">
        <v>665</v>
      </c>
      <c r="V209" s="4" t="s">
        <v>97</v>
      </c>
      <c r="W209" s="4" t="s">
        <v>174</v>
      </c>
      <c r="X209" s="4" t="s">
        <v>70</v>
      </c>
      <c r="Y209" s="4"/>
    </row>
    <row r="210" spans="1:25" ht="54.7">
      <c r="A210" s="4" t="s">
        <v>2165</v>
      </c>
      <c r="B210" s="4" t="s">
        <v>2125</v>
      </c>
      <c r="C210" s="4" t="s">
        <v>2126</v>
      </c>
      <c r="D210" s="4" t="s">
        <v>2166</v>
      </c>
      <c r="E210" s="4" t="s">
        <v>141</v>
      </c>
      <c r="F210" s="4" t="s">
        <v>142</v>
      </c>
      <c r="G210" s="4" t="s">
        <v>178</v>
      </c>
      <c r="H210" s="4" t="s">
        <v>2167</v>
      </c>
      <c r="I210" s="4" t="s">
        <v>2168</v>
      </c>
      <c r="J210" s="4" t="s">
        <v>2169</v>
      </c>
      <c r="K210" s="4" t="s">
        <v>2170</v>
      </c>
      <c r="L210" s="4" t="s">
        <v>8</v>
      </c>
      <c r="M210" s="4" t="s">
        <v>59</v>
      </c>
      <c r="N210" s="4" t="s">
        <v>60</v>
      </c>
      <c r="O210" s="4" t="s">
        <v>1857</v>
      </c>
      <c r="P210" s="4" t="s">
        <v>550</v>
      </c>
      <c r="Q210" s="4" t="s">
        <v>80</v>
      </c>
      <c r="R210" s="4" t="s">
        <v>2171</v>
      </c>
      <c r="S210" s="4" t="s">
        <v>65</v>
      </c>
      <c r="T210" s="4" t="s">
        <v>552</v>
      </c>
      <c r="U210" s="4" t="s">
        <v>520</v>
      </c>
      <c r="V210" s="4" t="s">
        <v>97</v>
      </c>
      <c r="W210" s="4" t="s">
        <v>174</v>
      </c>
      <c r="X210" s="4" t="s">
        <v>70</v>
      </c>
      <c r="Y210" s="4"/>
    </row>
    <row r="211" spans="1:25" ht="54.7">
      <c r="A211" s="4" t="s">
        <v>2172</v>
      </c>
      <c r="B211" s="4" t="s">
        <v>2125</v>
      </c>
      <c r="C211" s="4" t="s">
        <v>2126</v>
      </c>
      <c r="D211" s="4" t="s">
        <v>2173</v>
      </c>
      <c r="E211" s="4" t="s">
        <v>177</v>
      </c>
      <c r="F211" s="4" t="s">
        <v>163</v>
      </c>
      <c r="G211" s="4" t="s">
        <v>178</v>
      </c>
      <c r="H211" s="4" t="s">
        <v>2174</v>
      </c>
      <c r="I211" s="4" t="s">
        <v>2175</v>
      </c>
      <c r="J211" s="4" t="s">
        <v>2176</v>
      </c>
      <c r="K211" s="4" t="s">
        <v>2177</v>
      </c>
      <c r="L211" s="4" t="s">
        <v>8</v>
      </c>
      <c r="M211" s="4" t="s">
        <v>168</v>
      </c>
      <c r="N211" s="4" t="s">
        <v>60</v>
      </c>
      <c r="O211" s="4" t="s">
        <v>2178</v>
      </c>
      <c r="P211" s="4" t="s">
        <v>2179</v>
      </c>
      <c r="Q211" s="4" t="s">
        <v>80</v>
      </c>
      <c r="R211" s="4" t="s">
        <v>2180</v>
      </c>
      <c r="S211" s="4" t="s">
        <v>65</v>
      </c>
      <c r="T211" s="4" t="s">
        <v>552</v>
      </c>
      <c r="U211" s="4" t="s">
        <v>555</v>
      </c>
      <c r="V211" s="4" t="s">
        <v>97</v>
      </c>
      <c r="W211" s="4" t="s">
        <v>174</v>
      </c>
      <c r="X211" s="4" t="s">
        <v>70</v>
      </c>
      <c r="Y211" s="4"/>
    </row>
    <row r="212" spans="1:25" ht="54.7">
      <c r="A212" s="4" t="s">
        <v>2181</v>
      </c>
      <c r="B212" s="4" t="s">
        <v>2125</v>
      </c>
      <c r="C212" s="4" t="s">
        <v>2126</v>
      </c>
      <c r="D212" s="4" t="s">
        <v>2182</v>
      </c>
      <c r="E212" s="4" t="s">
        <v>52</v>
      </c>
      <c r="F212" s="4" t="s">
        <v>53</v>
      </c>
      <c r="G212" s="4" t="s">
        <v>54</v>
      </c>
      <c r="H212" s="4" t="s">
        <v>2183</v>
      </c>
      <c r="I212" s="4" t="s">
        <v>2184</v>
      </c>
      <c r="J212" s="4" t="s">
        <v>2185</v>
      </c>
      <c r="K212" s="4" t="s">
        <v>2186</v>
      </c>
      <c r="L212" s="4" t="s">
        <v>8</v>
      </c>
      <c r="M212" s="4" t="s">
        <v>59</v>
      </c>
      <c r="N212" s="4" t="s">
        <v>60</v>
      </c>
      <c r="O212" s="4" t="s">
        <v>2187</v>
      </c>
      <c r="P212" s="4" t="s">
        <v>550</v>
      </c>
      <c r="Q212" s="4" t="s">
        <v>80</v>
      </c>
      <c r="R212" s="4" t="s">
        <v>2188</v>
      </c>
      <c r="S212" s="4" t="s">
        <v>65</v>
      </c>
      <c r="T212" s="4" t="s">
        <v>552</v>
      </c>
      <c r="U212" s="4" t="s">
        <v>1483</v>
      </c>
      <c r="V212" s="4" t="s">
        <v>138</v>
      </c>
      <c r="W212" s="4" t="s">
        <v>174</v>
      </c>
      <c r="X212" s="4" t="s">
        <v>70</v>
      </c>
      <c r="Y212" s="4"/>
    </row>
    <row r="213" spans="1:25" ht="54.7">
      <c r="A213" s="4" t="s">
        <v>2189</v>
      </c>
      <c r="B213" s="4" t="s">
        <v>2125</v>
      </c>
      <c r="C213" s="4" t="s">
        <v>2126</v>
      </c>
      <c r="D213" s="4" t="s">
        <v>2190</v>
      </c>
      <c r="E213" s="4" t="s">
        <v>1926</v>
      </c>
      <c r="F213" s="4" t="s">
        <v>174</v>
      </c>
      <c r="G213" s="4" t="s">
        <v>1927</v>
      </c>
      <c r="H213" s="4" t="s">
        <v>2191</v>
      </c>
      <c r="I213" s="4" t="s">
        <v>2192</v>
      </c>
      <c r="J213" s="4" t="s">
        <v>2193</v>
      </c>
      <c r="K213" s="4" t="s">
        <v>2194</v>
      </c>
      <c r="L213" s="4" t="s">
        <v>11</v>
      </c>
      <c r="M213" s="4" t="s">
        <v>168</v>
      </c>
      <c r="N213" s="4" t="s">
        <v>169</v>
      </c>
      <c r="O213" s="4" t="s">
        <v>2195</v>
      </c>
      <c r="P213" s="4" t="s">
        <v>2196</v>
      </c>
      <c r="Q213" s="4" t="s">
        <v>80</v>
      </c>
      <c r="R213" s="4" t="s">
        <v>2197</v>
      </c>
      <c r="S213" s="4" t="s">
        <v>65</v>
      </c>
      <c r="T213" s="4" t="s">
        <v>1935</v>
      </c>
      <c r="U213" s="4" t="s">
        <v>2198</v>
      </c>
      <c r="V213" s="4" t="s">
        <v>83</v>
      </c>
      <c r="W213" s="4" t="s">
        <v>174</v>
      </c>
      <c r="X213" s="4" t="s">
        <v>70</v>
      </c>
      <c r="Y213" s="4"/>
    </row>
    <row r="214" spans="1:25" ht="54.7">
      <c r="A214" s="4" t="s">
        <v>2199</v>
      </c>
      <c r="B214" s="4" t="s">
        <v>2125</v>
      </c>
      <c r="C214" s="4" t="s">
        <v>2126</v>
      </c>
      <c r="D214" s="4" t="s">
        <v>2200</v>
      </c>
      <c r="E214" s="4" t="s">
        <v>1926</v>
      </c>
      <c r="F214" s="4" t="s">
        <v>174</v>
      </c>
      <c r="G214" s="4" t="s">
        <v>1927</v>
      </c>
      <c r="H214" s="4" t="s">
        <v>2201</v>
      </c>
      <c r="I214" s="4" t="s">
        <v>2202</v>
      </c>
      <c r="J214" s="4" t="s">
        <v>2203</v>
      </c>
      <c r="K214" s="4" t="s">
        <v>2204</v>
      </c>
      <c r="L214" s="4" t="s">
        <v>14</v>
      </c>
      <c r="M214" s="4" t="s">
        <v>168</v>
      </c>
      <c r="N214" s="4" t="s">
        <v>169</v>
      </c>
      <c r="O214" s="4" t="s">
        <v>2205</v>
      </c>
      <c r="P214" s="4" t="s">
        <v>2206</v>
      </c>
      <c r="Q214" s="4" t="s">
        <v>1374</v>
      </c>
      <c r="R214" s="4" t="s">
        <v>2207</v>
      </c>
      <c r="S214" s="4" t="s">
        <v>65</v>
      </c>
      <c r="T214" s="4" t="s">
        <v>1376</v>
      </c>
      <c r="U214" s="4" t="s">
        <v>1936</v>
      </c>
      <c r="V214" s="4" t="s">
        <v>97</v>
      </c>
      <c r="W214" s="4" t="s">
        <v>174</v>
      </c>
      <c r="X214" s="4" t="s">
        <v>70</v>
      </c>
      <c r="Y214" s="4"/>
    </row>
    <row r="215" spans="1:25" ht="54.7">
      <c r="A215" s="4" t="s">
        <v>2208</v>
      </c>
      <c r="B215" s="4" t="s">
        <v>2125</v>
      </c>
      <c r="C215" s="4" t="s">
        <v>2126</v>
      </c>
      <c r="D215" s="4" t="s">
        <v>2209</v>
      </c>
      <c r="E215" s="4" t="s">
        <v>556</v>
      </c>
      <c r="F215" s="4" t="s">
        <v>127</v>
      </c>
      <c r="G215" s="4" t="s">
        <v>178</v>
      </c>
      <c r="H215" s="4" t="s">
        <v>2210</v>
      </c>
      <c r="I215" s="4" t="s">
        <v>2211</v>
      </c>
      <c r="J215" s="4" t="s">
        <v>2212</v>
      </c>
      <c r="K215" s="4" t="s">
        <v>2213</v>
      </c>
      <c r="L215" s="4" t="s">
        <v>14</v>
      </c>
      <c r="M215" s="4" t="s">
        <v>168</v>
      </c>
      <c r="N215" s="4" t="s">
        <v>169</v>
      </c>
      <c r="O215" s="4" t="s">
        <v>2214</v>
      </c>
      <c r="P215" s="4" t="s">
        <v>2215</v>
      </c>
      <c r="Q215" s="4" t="s">
        <v>80</v>
      </c>
      <c r="R215" s="4" t="s">
        <v>2216</v>
      </c>
      <c r="S215" s="4" t="s">
        <v>65</v>
      </c>
      <c r="T215" s="4" t="s">
        <v>2217</v>
      </c>
      <c r="U215" s="4" t="s">
        <v>2218</v>
      </c>
      <c r="V215" s="4" t="s">
        <v>138</v>
      </c>
      <c r="W215" s="4" t="s">
        <v>174</v>
      </c>
      <c r="X215" s="4" t="s">
        <v>70</v>
      </c>
      <c r="Y215" s="4"/>
    </row>
    <row r="216" spans="1:25" ht="54.7">
      <c r="A216" s="4" t="s">
        <v>2219</v>
      </c>
      <c r="B216" s="4" t="s">
        <v>2125</v>
      </c>
      <c r="C216" s="4" t="s">
        <v>2126</v>
      </c>
      <c r="D216" s="4" t="s">
        <v>2220</v>
      </c>
      <c r="E216" s="4" t="s">
        <v>141</v>
      </c>
      <c r="F216" s="4" t="s">
        <v>142</v>
      </c>
      <c r="G216" s="4" t="s">
        <v>178</v>
      </c>
      <c r="H216" s="4" t="s">
        <v>2221</v>
      </c>
      <c r="I216" s="4" t="s">
        <v>2222</v>
      </c>
      <c r="J216" s="4" t="s">
        <v>2223</v>
      </c>
      <c r="K216" s="4" t="s">
        <v>2224</v>
      </c>
      <c r="L216" s="4" t="s">
        <v>8</v>
      </c>
      <c r="M216" s="4" t="s">
        <v>59</v>
      </c>
      <c r="N216" s="4" t="s">
        <v>60</v>
      </c>
      <c r="O216" s="4" t="s">
        <v>2225</v>
      </c>
      <c r="P216" s="4" t="s">
        <v>550</v>
      </c>
      <c r="Q216" s="4" t="s">
        <v>80</v>
      </c>
      <c r="R216" s="4" t="s">
        <v>2226</v>
      </c>
      <c r="S216" s="4" t="s">
        <v>65</v>
      </c>
      <c r="T216" s="4" t="s">
        <v>552</v>
      </c>
      <c r="U216" s="4" t="s">
        <v>553</v>
      </c>
      <c r="V216" s="4" t="s">
        <v>97</v>
      </c>
      <c r="W216" s="4" t="s">
        <v>98</v>
      </c>
      <c r="X216" s="4" t="s">
        <v>70</v>
      </c>
      <c r="Y216" s="4"/>
    </row>
    <row r="217" spans="1:25" ht="68.349999999999994">
      <c r="A217" s="4" t="s">
        <v>2227</v>
      </c>
      <c r="B217" s="4" t="s">
        <v>2125</v>
      </c>
      <c r="C217" s="4" t="s">
        <v>2126</v>
      </c>
      <c r="D217" s="4" t="s">
        <v>2228</v>
      </c>
      <c r="E217" s="4" t="s">
        <v>1926</v>
      </c>
      <c r="F217" s="4" t="s">
        <v>174</v>
      </c>
      <c r="G217" s="4" t="s">
        <v>2229</v>
      </c>
      <c r="H217" s="4" t="s">
        <v>2230</v>
      </c>
      <c r="I217" s="4" t="s">
        <v>2231</v>
      </c>
      <c r="J217" s="4" t="s">
        <v>2232</v>
      </c>
      <c r="K217" s="4" t="s">
        <v>2233</v>
      </c>
      <c r="L217" s="4" t="s">
        <v>8</v>
      </c>
      <c r="M217" s="4" t="s">
        <v>59</v>
      </c>
      <c r="N217" s="4" t="s">
        <v>60</v>
      </c>
      <c r="O217" s="4" t="s">
        <v>561</v>
      </c>
      <c r="P217" s="4" t="s">
        <v>2234</v>
      </c>
      <c r="Q217" s="4" t="s">
        <v>486</v>
      </c>
      <c r="R217" s="4" t="s">
        <v>563</v>
      </c>
      <c r="S217" s="4" t="s">
        <v>127</v>
      </c>
      <c r="T217" s="4" t="s">
        <v>564</v>
      </c>
      <c r="U217" s="4" t="s">
        <v>555</v>
      </c>
      <c r="V217" s="4" t="s">
        <v>214</v>
      </c>
      <c r="W217" s="4" t="s">
        <v>291</v>
      </c>
      <c r="X217" s="4" t="s">
        <v>70</v>
      </c>
      <c r="Y217" s="4"/>
    </row>
    <row r="218" spans="1:25" ht="54.7">
      <c r="A218" s="4" t="s">
        <v>2235</v>
      </c>
      <c r="B218" s="4" t="s">
        <v>2236</v>
      </c>
      <c r="C218" s="4" t="s">
        <v>2237</v>
      </c>
      <c r="D218" s="4" t="s">
        <v>2238</v>
      </c>
      <c r="E218" s="4" t="s">
        <v>52</v>
      </c>
      <c r="F218" s="4" t="s">
        <v>53</v>
      </c>
      <c r="G218" s="4" t="s">
        <v>2239</v>
      </c>
      <c r="H218" s="4" t="s">
        <v>2240</v>
      </c>
      <c r="I218" s="4" t="s">
        <v>2241</v>
      </c>
      <c r="J218" s="4" t="s">
        <v>2242</v>
      </c>
      <c r="K218" s="4" t="s">
        <v>2243</v>
      </c>
      <c r="L218" s="4" t="s">
        <v>8</v>
      </c>
      <c r="M218" s="4" t="s">
        <v>59</v>
      </c>
      <c r="N218" s="4" t="s">
        <v>60</v>
      </c>
      <c r="O218" s="4" t="s">
        <v>2244</v>
      </c>
      <c r="P218" s="4" t="s">
        <v>2245</v>
      </c>
      <c r="Q218" s="4" t="s">
        <v>80</v>
      </c>
      <c r="R218" s="4" t="s">
        <v>2246</v>
      </c>
      <c r="S218" s="4" t="s">
        <v>65</v>
      </c>
      <c r="T218" s="4" t="s">
        <v>2247</v>
      </c>
      <c r="U218" s="4" t="s">
        <v>2248</v>
      </c>
      <c r="V218" s="4" t="s">
        <v>97</v>
      </c>
      <c r="W218" s="4" t="s">
        <v>291</v>
      </c>
      <c r="X218" s="4" t="s">
        <v>70</v>
      </c>
      <c r="Y218" s="4"/>
    </row>
    <row r="219" spans="1:25" ht="54.7">
      <c r="A219" s="4" t="s">
        <v>2249</v>
      </c>
      <c r="B219" s="4" t="s">
        <v>2236</v>
      </c>
      <c r="C219" s="4" t="s">
        <v>2237</v>
      </c>
      <c r="D219" s="4" t="s">
        <v>2250</v>
      </c>
      <c r="E219" s="4" t="s">
        <v>52</v>
      </c>
      <c r="F219" s="4" t="s">
        <v>53</v>
      </c>
      <c r="G219" s="4" t="s">
        <v>2251</v>
      </c>
      <c r="H219" s="4" t="s">
        <v>2252</v>
      </c>
      <c r="I219" s="4" t="s">
        <v>2253</v>
      </c>
      <c r="J219" s="4" t="s">
        <v>2242</v>
      </c>
      <c r="K219" s="4" t="s">
        <v>2254</v>
      </c>
      <c r="L219" s="4" t="s">
        <v>8</v>
      </c>
      <c r="M219" s="4" t="s">
        <v>59</v>
      </c>
      <c r="N219" s="4" t="s">
        <v>60</v>
      </c>
      <c r="O219" s="4" t="s">
        <v>2244</v>
      </c>
      <c r="P219" s="4" t="s">
        <v>2245</v>
      </c>
      <c r="Q219" s="4" t="s">
        <v>80</v>
      </c>
      <c r="R219" s="4" t="s">
        <v>2246</v>
      </c>
      <c r="S219" s="4" t="s">
        <v>65</v>
      </c>
      <c r="T219" s="4" t="s">
        <v>2247</v>
      </c>
      <c r="U219" s="4" t="s">
        <v>2248</v>
      </c>
      <c r="V219" s="4" t="s">
        <v>97</v>
      </c>
      <c r="W219" s="4" t="s">
        <v>291</v>
      </c>
      <c r="X219" s="4" t="s">
        <v>70</v>
      </c>
      <c r="Y219" s="4"/>
    </row>
    <row r="220" spans="1:25" ht="54.7">
      <c r="A220" s="4" t="s">
        <v>2255</v>
      </c>
      <c r="B220" s="4" t="s">
        <v>2236</v>
      </c>
      <c r="C220" s="4" t="s">
        <v>2237</v>
      </c>
      <c r="D220" s="4" t="s">
        <v>2256</v>
      </c>
      <c r="E220" s="4" t="s">
        <v>73</v>
      </c>
      <c r="F220" s="4" t="s">
        <v>74</v>
      </c>
      <c r="G220" s="4" t="s">
        <v>2257</v>
      </c>
      <c r="H220" s="4" t="s">
        <v>2258</v>
      </c>
      <c r="I220" s="4" t="s">
        <v>2259</v>
      </c>
      <c r="J220" s="4" t="s">
        <v>2260</v>
      </c>
      <c r="K220" s="4" t="s">
        <v>2261</v>
      </c>
      <c r="L220" s="4" t="s">
        <v>8</v>
      </c>
      <c r="M220" s="4" t="s">
        <v>59</v>
      </c>
      <c r="N220" s="4" t="s">
        <v>60</v>
      </c>
      <c r="O220" s="4" t="s">
        <v>2262</v>
      </c>
      <c r="P220" s="4" t="s">
        <v>2263</v>
      </c>
      <c r="Q220" s="4" t="s">
        <v>80</v>
      </c>
      <c r="R220" s="4" t="s">
        <v>2264</v>
      </c>
      <c r="S220" s="4" t="s">
        <v>65</v>
      </c>
      <c r="T220" s="4" t="s">
        <v>2265</v>
      </c>
      <c r="U220" s="4" t="s">
        <v>2266</v>
      </c>
      <c r="V220" s="4" t="s">
        <v>97</v>
      </c>
      <c r="W220" s="4" t="s">
        <v>69</v>
      </c>
      <c r="X220" s="4" t="s">
        <v>70</v>
      </c>
      <c r="Y220" s="4"/>
    </row>
    <row r="221" spans="1:25" ht="54.7">
      <c r="A221" s="4" t="s">
        <v>2267</v>
      </c>
      <c r="B221" s="4" t="s">
        <v>2236</v>
      </c>
      <c r="C221" s="4" t="s">
        <v>2237</v>
      </c>
      <c r="D221" s="4" t="s">
        <v>2268</v>
      </c>
      <c r="E221" s="4" t="s">
        <v>863</v>
      </c>
      <c r="F221" s="4" t="s">
        <v>74</v>
      </c>
      <c r="G221" s="4" t="s">
        <v>2257</v>
      </c>
      <c r="H221" s="4" t="s">
        <v>2269</v>
      </c>
      <c r="I221" s="4" t="s">
        <v>2270</v>
      </c>
      <c r="J221" s="4" t="s">
        <v>2271</v>
      </c>
      <c r="K221" s="4" t="s">
        <v>2272</v>
      </c>
      <c r="L221" s="4" t="s">
        <v>11</v>
      </c>
      <c r="M221" s="4" t="s">
        <v>59</v>
      </c>
      <c r="N221" s="4" t="s">
        <v>60</v>
      </c>
      <c r="O221" s="4" t="s">
        <v>2273</v>
      </c>
      <c r="P221" s="4" t="s">
        <v>2245</v>
      </c>
      <c r="Q221" s="4" t="s">
        <v>80</v>
      </c>
      <c r="R221" s="4" t="s">
        <v>2274</v>
      </c>
      <c r="S221" s="4" t="s">
        <v>65</v>
      </c>
      <c r="T221" s="4" t="s">
        <v>2275</v>
      </c>
      <c r="U221" s="4" t="s">
        <v>2276</v>
      </c>
      <c r="V221" s="4" t="s">
        <v>97</v>
      </c>
      <c r="W221" s="4" t="s">
        <v>349</v>
      </c>
      <c r="X221" s="4" t="s">
        <v>70</v>
      </c>
      <c r="Y221" s="4"/>
    </row>
    <row r="222" spans="1:25" ht="54.7">
      <c r="A222" s="4" t="s">
        <v>2277</v>
      </c>
      <c r="B222" s="4" t="s">
        <v>2236</v>
      </c>
      <c r="C222" s="4" t="s">
        <v>2237</v>
      </c>
      <c r="D222" s="4" t="s">
        <v>977</v>
      </c>
      <c r="E222" s="4" t="s">
        <v>114</v>
      </c>
      <c r="F222" s="4" t="s">
        <v>115</v>
      </c>
      <c r="G222" s="4" t="s">
        <v>2257</v>
      </c>
      <c r="H222" s="4" t="s">
        <v>2278</v>
      </c>
      <c r="I222" s="4" t="s">
        <v>2279</v>
      </c>
      <c r="J222" s="4" t="s">
        <v>2280</v>
      </c>
      <c r="K222" s="4" t="s">
        <v>2281</v>
      </c>
      <c r="L222" s="4" t="s">
        <v>8</v>
      </c>
      <c r="M222" s="4" t="s">
        <v>59</v>
      </c>
      <c r="N222" s="4" t="s">
        <v>60</v>
      </c>
      <c r="O222" s="4" t="s">
        <v>889</v>
      </c>
      <c r="P222" s="4" t="s">
        <v>2206</v>
      </c>
      <c r="Q222" s="4" t="s">
        <v>1374</v>
      </c>
      <c r="R222" s="4" t="s">
        <v>2282</v>
      </c>
      <c r="S222" s="4" t="s">
        <v>65</v>
      </c>
      <c r="T222" s="4" t="s">
        <v>1376</v>
      </c>
      <c r="U222" s="4" t="s">
        <v>2283</v>
      </c>
      <c r="V222" s="4" t="s">
        <v>97</v>
      </c>
      <c r="W222" s="4" t="s">
        <v>69</v>
      </c>
      <c r="X222" s="4" t="s">
        <v>70</v>
      </c>
      <c r="Y222" s="4"/>
    </row>
    <row r="223" spans="1:25" ht="54.7">
      <c r="A223" s="4" t="s">
        <v>2284</v>
      </c>
      <c r="B223" s="4" t="s">
        <v>2236</v>
      </c>
      <c r="C223" s="4" t="s">
        <v>2237</v>
      </c>
      <c r="D223" s="4" t="s">
        <v>2285</v>
      </c>
      <c r="E223" s="4" t="s">
        <v>73</v>
      </c>
      <c r="F223" s="4" t="s">
        <v>74</v>
      </c>
      <c r="G223" s="4" t="s">
        <v>2257</v>
      </c>
      <c r="H223" s="4" t="s">
        <v>2286</v>
      </c>
      <c r="I223" s="4" t="s">
        <v>2287</v>
      </c>
      <c r="J223" s="4" t="s">
        <v>2288</v>
      </c>
      <c r="K223" s="4" t="s">
        <v>2289</v>
      </c>
      <c r="L223" s="4" t="s">
        <v>14</v>
      </c>
      <c r="M223" s="4" t="s">
        <v>168</v>
      </c>
      <c r="N223" s="4" t="s">
        <v>169</v>
      </c>
      <c r="O223" s="4" t="s">
        <v>2290</v>
      </c>
      <c r="P223" s="4" t="s">
        <v>2291</v>
      </c>
      <c r="Q223" s="4" t="s">
        <v>1396</v>
      </c>
      <c r="R223" s="4" t="s">
        <v>2292</v>
      </c>
      <c r="S223" s="4" t="s">
        <v>65</v>
      </c>
      <c r="T223" s="4" t="s">
        <v>2293</v>
      </c>
      <c r="U223" s="4" t="s">
        <v>1086</v>
      </c>
      <c r="V223" s="4" t="s">
        <v>97</v>
      </c>
      <c r="W223" s="4" t="s">
        <v>69</v>
      </c>
      <c r="X223" s="4" t="s">
        <v>70</v>
      </c>
      <c r="Y223" s="4"/>
    </row>
    <row r="224" spans="1:25" ht="54.7">
      <c r="A224" s="4" t="s">
        <v>2294</v>
      </c>
      <c r="B224" s="4" t="s">
        <v>2236</v>
      </c>
      <c r="C224" s="4" t="s">
        <v>2237</v>
      </c>
      <c r="D224" s="4" t="s">
        <v>2295</v>
      </c>
      <c r="E224" s="4" t="s">
        <v>73</v>
      </c>
      <c r="F224" s="4" t="s">
        <v>74</v>
      </c>
      <c r="G224" s="4" t="s">
        <v>2257</v>
      </c>
      <c r="H224" s="4" t="s">
        <v>2296</v>
      </c>
      <c r="I224" s="4" t="s">
        <v>2297</v>
      </c>
      <c r="J224" s="4" t="s">
        <v>2298</v>
      </c>
      <c r="K224" s="4" t="s">
        <v>2299</v>
      </c>
      <c r="L224" s="4" t="s">
        <v>14</v>
      </c>
      <c r="M224" s="4" t="s">
        <v>168</v>
      </c>
      <c r="N224" s="4" t="s">
        <v>169</v>
      </c>
      <c r="O224" s="4" t="s">
        <v>2300</v>
      </c>
      <c r="P224" s="4" t="s">
        <v>2301</v>
      </c>
      <c r="Q224" s="4" t="s">
        <v>80</v>
      </c>
      <c r="R224" s="4" t="s">
        <v>2302</v>
      </c>
      <c r="S224" s="4" t="s">
        <v>65</v>
      </c>
      <c r="T224" s="4" t="s">
        <v>2303</v>
      </c>
      <c r="U224" s="4" t="s">
        <v>2248</v>
      </c>
      <c r="V224" s="4" t="s">
        <v>97</v>
      </c>
      <c r="W224" s="4" t="s">
        <v>291</v>
      </c>
      <c r="X224" s="4" t="s">
        <v>70</v>
      </c>
      <c r="Y224" s="4"/>
    </row>
    <row r="225" spans="1:25" ht="54.7">
      <c r="A225" s="4" t="s">
        <v>2304</v>
      </c>
      <c r="B225" s="4" t="s">
        <v>2236</v>
      </c>
      <c r="C225" s="4" t="s">
        <v>2237</v>
      </c>
      <c r="D225" s="4" t="s">
        <v>2305</v>
      </c>
      <c r="E225" s="4" t="s">
        <v>126</v>
      </c>
      <c r="F225" s="4" t="s">
        <v>127</v>
      </c>
      <c r="G225" s="4" t="s">
        <v>2257</v>
      </c>
      <c r="H225" s="4" t="s">
        <v>2306</v>
      </c>
      <c r="I225" s="4" t="s">
        <v>2307</v>
      </c>
      <c r="J225" s="4" t="s">
        <v>2308</v>
      </c>
      <c r="K225" s="4" t="s">
        <v>2309</v>
      </c>
      <c r="L225" s="4" t="s">
        <v>14</v>
      </c>
      <c r="M225" s="4" t="s">
        <v>168</v>
      </c>
      <c r="N225" s="4" t="s">
        <v>169</v>
      </c>
      <c r="O225" s="4" t="s">
        <v>2310</v>
      </c>
      <c r="P225" s="4" t="s">
        <v>2311</v>
      </c>
      <c r="Q225" s="4" t="s">
        <v>80</v>
      </c>
      <c r="R225" s="4" t="s">
        <v>2312</v>
      </c>
      <c r="S225" s="4" t="s">
        <v>65</v>
      </c>
      <c r="T225" s="4" t="s">
        <v>2313</v>
      </c>
      <c r="U225" s="4" t="s">
        <v>2314</v>
      </c>
      <c r="V225" s="4" t="s">
        <v>97</v>
      </c>
      <c r="W225" s="4" t="s">
        <v>291</v>
      </c>
      <c r="X225" s="4" t="s">
        <v>70</v>
      </c>
      <c r="Y225" s="4"/>
    </row>
    <row r="226" spans="1:25" ht="54.7">
      <c r="A226" s="4" t="s">
        <v>2315</v>
      </c>
      <c r="B226" s="4" t="s">
        <v>2236</v>
      </c>
      <c r="C226" s="4" t="s">
        <v>2237</v>
      </c>
      <c r="D226" s="4" t="s">
        <v>2316</v>
      </c>
      <c r="E226" s="4" t="s">
        <v>114</v>
      </c>
      <c r="F226" s="4" t="s">
        <v>115</v>
      </c>
      <c r="G226" s="4" t="s">
        <v>2257</v>
      </c>
      <c r="H226" s="4" t="s">
        <v>2317</v>
      </c>
      <c r="I226" s="4" t="s">
        <v>2318</v>
      </c>
      <c r="J226" s="4" t="s">
        <v>2319</v>
      </c>
      <c r="K226" s="4" t="s">
        <v>2320</v>
      </c>
      <c r="L226" s="4" t="s">
        <v>14</v>
      </c>
      <c r="M226" s="4" t="s">
        <v>168</v>
      </c>
      <c r="N226" s="4" t="s">
        <v>169</v>
      </c>
      <c r="O226" s="4" t="s">
        <v>2321</v>
      </c>
      <c r="P226" s="4" t="s">
        <v>2322</v>
      </c>
      <c r="Q226" s="4" t="s">
        <v>80</v>
      </c>
      <c r="R226" s="4" t="s">
        <v>2323</v>
      </c>
      <c r="S226" s="4" t="s">
        <v>65</v>
      </c>
      <c r="T226" s="4" t="s">
        <v>2324</v>
      </c>
      <c r="U226" s="4" t="s">
        <v>2325</v>
      </c>
      <c r="V226" s="4" t="s">
        <v>97</v>
      </c>
      <c r="W226" s="4" t="s">
        <v>98</v>
      </c>
      <c r="X226" s="4" t="s">
        <v>70</v>
      </c>
      <c r="Y226" s="4"/>
    </row>
    <row r="227" spans="1:25" ht="54.7">
      <c r="A227" s="4" t="s">
        <v>2326</v>
      </c>
      <c r="B227" s="4" t="s">
        <v>2236</v>
      </c>
      <c r="C227" s="4" t="s">
        <v>2237</v>
      </c>
      <c r="D227" s="4" t="s">
        <v>2327</v>
      </c>
      <c r="E227" s="4" t="s">
        <v>73</v>
      </c>
      <c r="F227" s="4" t="s">
        <v>74</v>
      </c>
      <c r="G227" s="4" t="s">
        <v>2257</v>
      </c>
      <c r="H227" s="4" t="s">
        <v>2328</v>
      </c>
      <c r="I227" s="4" t="s">
        <v>2329</v>
      </c>
      <c r="J227" s="4" t="s">
        <v>2330</v>
      </c>
      <c r="K227" s="4" t="s">
        <v>2331</v>
      </c>
      <c r="L227" s="4" t="s">
        <v>11</v>
      </c>
      <c r="M227" s="4" t="s">
        <v>59</v>
      </c>
      <c r="N227" s="4" t="s">
        <v>60</v>
      </c>
      <c r="O227" s="4" t="s">
        <v>2332</v>
      </c>
      <c r="P227" s="4" t="s">
        <v>2333</v>
      </c>
      <c r="Q227" s="4" t="s">
        <v>1374</v>
      </c>
      <c r="R227" s="4" t="s">
        <v>2334</v>
      </c>
      <c r="S227" s="4" t="s">
        <v>65</v>
      </c>
      <c r="T227" s="4" t="s">
        <v>675</v>
      </c>
      <c r="U227" s="4" t="s">
        <v>977</v>
      </c>
      <c r="V227" s="4" t="s">
        <v>97</v>
      </c>
      <c r="W227" s="4" t="s">
        <v>349</v>
      </c>
      <c r="X227" s="4" t="s">
        <v>70</v>
      </c>
      <c r="Y227" s="4"/>
    </row>
    <row r="228" spans="1:25" ht="54.7">
      <c r="A228" s="4" t="s">
        <v>2335</v>
      </c>
      <c r="B228" s="4" t="s">
        <v>2236</v>
      </c>
      <c r="C228" s="4" t="s">
        <v>2237</v>
      </c>
      <c r="D228" s="4" t="s">
        <v>2336</v>
      </c>
      <c r="E228" s="4" t="s">
        <v>126</v>
      </c>
      <c r="F228" s="4" t="s">
        <v>127</v>
      </c>
      <c r="G228" s="4" t="s">
        <v>396</v>
      </c>
      <c r="H228" s="4" t="s">
        <v>2337</v>
      </c>
      <c r="I228" s="4" t="s">
        <v>2338</v>
      </c>
      <c r="J228" s="4" t="s">
        <v>2339</v>
      </c>
      <c r="K228" s="4" t="s">
        <v>2340</v>
      </c>
      <c r="L228" s="4" t="s">
        <v>8</v>
      </c>
      <c r="M228" s="4" t="s">
        <v>59</v>
      </c>
      <c r="N228" s="4" t="s">
        <v>60</v>
      </c>
      <c r="O228" s="4" t="s">
        <v>2341</v>
      </c>
      <c r="P228" s="4" t="s">
        <v>2342</v>
      </c>
      <c r="Q228" s="4" t="s">
        <v>675</v>
      </c>
      <c r="R228" s="4" t="s">
        <v>2343</v>
      </c>
      <c r="S228" s="4" t="s">
        <v>127</v>
      </c>
      <c r="T228" s="4" t="s">
        <v>2344</v>
      </c>
      <c r="U228" s="4" t="s">
        <v>2345</v>
      </c>
      <c r="V228" s="4" t="s">
        <v>97</v>
      </c>
      <c r="W228" s="4" t="s">
        <v>291</v>
      </c>
      <c r="X228" s="4" t="s">
        <v>70</v>
      </c>
      <c r="Y228" s="4"/>
    </row>
    <row r="229" spans="1:25" ht="54.7">
      <c r="A229" s="4" t="s">
        <v>2346</v>
      </c>
      <c r="B229" s="4" t="s">
        <v>2236</v>
      </c>
      <c r="C229" s="4" t="s">
        <v>2237</v>
      </c>
      <c r="D229" s="4" t="s">
        <v>2347</v>
      </c>
      <c r="E229" s="4" t="s">
        <v>52</v>
      </c>
      <c r="F229" s="4" t="s">
        <v>53</v>
      </c>
      <c r="G229" s="4" t="s">
        <v>2257</v>
      </c>
      <c r="H229" s="4" t="s">
        <v>2348</v>
      </c>
      <c r="I229" s="4" t="s">
        <v>2349</v>
      </c>
      <c r="J229" s="4" t="s">
        <v>2350</v>
      </c>
      <c r="K229" s="4" t="s">
        <v>2351</v>
      </c>
      <c r="L229" s="4" t="s">
        <v>11</v>
      </c>
      <c r="M229" s="4" t="s">
        <v>168</v>
      </c>
      <c r="N229" s="4" t="s">
        <v>60</v>
      </c>
      <c r="O229" s="4" t="s">
        <v>2273</v>
      </c>
      <c r="P229" s="4" t="s">
        <v>2245</v>
      </c>
      <c r="Q229" s="4" t="s">
        <v>80</v>
      </c>
      <c r="R229" s="4" t="s">
        <v>2352</v>
      </c>
      <c r="S229" s="4" t="s">
        <v>65</v>
      </c>
      <c r="T229" s="4" t="s">
        <v>2353</v>
      </c>
      <c r="U229" s="4" t="s">
        <v>2354</v>
      </c>
      <c r="V229" s="4" t="s">
        <v>97</v>
      </c>
      <c r="W229" s="4" t="s">
        <v>2355</v>
      </c>
      <c r="X229" s="4" t="s">
        <v>70</v>
      </c>
      <c r="Y229" s="4"/>
    </row>
    <row r="230" spans="1:25" ht="54.7">
      <c r="A230" s="4" t="s">
        <v>2356</v>
      </c>
      <c r="B230" s="4" t="s">
        <v>2236</v>
      </c>
      <c r="C230" s="4" t="s">
        <v>2237</v>
      </c>
      <c r="D230" s="4" t="s">
        <v>2357</v>
      </c>
      <c r="E230" s="4" t="s">
        <v>101</v>
      </c>
      <c r="F230" s="4" t="s">
        <v>101</v>
      </c>
      <c r="G230" s="4" t="s">
        <v>2257</v>
      </c>
      <c r="H230" s="4" t="s">
        <v>2358</v>
      </c>
      <c r="I230" s="4" t="s">
        <v>2359</v>
      </c>
      <c r="J230" s="4" t="s">
        <v>2360</v>
      </c>
      <c r="K230" s="4" t="s">
        <v>2361</v>
      </c>
      <c r="L230" s="4" t="s">
        <v>8</v>
      </c>
      <c r="M230" s="4" t="s">
        <v>59</v>
      </c>
      <c r="N230" s="4" t="s">
        <v>60</v>
      </c>
      <c r="O230" s="4" t="s">
        <v>2362</v>
      </c>
      <c r="P230" s="4" t="s">
        <v>2245</v>
      </c>
      <c r="Q230" s="4" t="s">
        <v>639</v>
      </c>
      <c r="R230" s="4" t="s">
        <v>2363</v>
      </c>
      <c r="S230" s="4" t="s">
        <v>65</v>
      </c>
      <c r="T230" s="4" t="s">
        <v>985</v>
      </c>
      <c r="U230" s="4" t="s">
        <v>2364</v>
      </c>
      <c r="V230" s="4" t="s">
        <v>97</v>
      </c>
      <c r="W230" s="4" t="s">
        <v>987</v>
      </c>
      <c r="X230" s="4" t="s">
        <v>70</v>
      </c>
      <c r="Y230" s="4"/>
    </row>
    <row r="231" spans="1:25" ht="41">
      <c r="A231" s="4" t="s">
        <v>2365</v>
      </c>
      <c r="B231" s="4" t="s">
        <v>2236</v>
      </c>
      <c r="C231" s="4" t="s">
        <v>2237</v>
      </c>
      <c r="D231" s="4" t="s">
        <v>2366</v>
      </c>
      <c r="E231" s="4" t="s">
        <v>241</v>
      </c>
      <c r="F231" s="4" t="s">
        <v>242</v>
      </c>
      <c r="G231" s="4" t="s">
        <v>2257</v>
      </c>
      <c r="H231" s="4" t="s">
        <v>2367</v>
      </c>
      <c r="I231" s="4" t="s">
        <v>2368</v>
      </c>
      <c r="J231" s="4" t="s">
        <v>2369</v>
      </c>
      <c r="K231" s="4" t="s">
        <v>2370</v>
      </c>
      <c r="L231" s="4" t="s">
        <v>8</v>
      </c>
      <c r="M231" s="4" t="s">
        <v>59</v>
      </c>
      <c r="N231" s="4" t="s">
        <v>60</v>
      </c>
      <c r="O231" s="4" t="s">
        <v>2371</v>
      </c>
      <c r="P231" s="4" t="s">
        <v>2372</v>
      </c>
      <c r="Q231" s="4" t="s">
        <v>2373</v>
      </c>
      <c r="R231" s="4" t="s">
        <v>2374</v>
      </c>
      <c r="S231" s="4" t="s">
        <v>127</v>
      </c>
      <c r="T231" s="4" t="s">
        <v>2375</v>
      </c>
      <c r="U231" s="4" t="s">
        <v>2376</v>
      </c>
      <c r="V231" s="4" t="s">
        <v>97</v>
      </c>
      <c r="W231" s="4" t="s">
        <v>291</v>
      </c>
      <c r="X231" s="4" t="s">
        <v>70</v>
      </c>
      <c r="Y231" s="4"/>
    </row>
    <row r="232" spans="1:25" ht="54.7">
      <c r="A232" s="4" t="s">
        <v>2377</v>
      </c>
      <c r="B232" s="4" t="s">
        <v>2378</v>
      </c>
      <c r="C232" s="4" t="s">
        <v>2379</v>
      </c>
      <c r="D232" s="4" t="s">
        <v>2380</v>
      </c>
      <c r="E232" s="4" t="s">
        <v>114</v>
      </c>
      <c r="F232" s="4" t="s">
        <v>115</v>
      </c>
      <c r="G232" s="4" t="s">
        <v>776</v>
      </c>
      <c r="H232" s="4" t="s">
        <v>2381</v>
      </c>
      <c r="I232" s="4" t="s">
        <v>2382</v>
      </c>
      <c r="J232" s="4" t="s">
        <v>2383</v>
      </c>
      <c r="K232" s="4" t="s">
        <v>2384</v>
      </c>
      <c r="L232" s="4" t="s">
        <v>8</v>
      </c>
      <c r="M232" s="4" t="s">
        <v>59</v>
      </c>
      <c r="N232" s="4" t="s">
        <v>60</v>
      </c>
      <c r="O232" s="4" t="s">
        <v>2385</v>
      </c>
      <c r="P232" s="4" t="s">
        <v>2245</v>
      </c>
      <c r="Q232" s="4" t="s">
        <v>80</v>
      </c>
      <c r="R232" s="4" t="s">
        <v>2386</v>
      </c>
      <c r="S232" s="4" t="s">
        <v>65</v>
      </c>
      <c r="T232" s="4" t="s">
        <v>2387</v>
      </c>
      <c r="U232" s="4" t="s">
        <v>2385</v>
      </c>
      <c r="V232" s="4" t="s">
        <v>97</v>
      </c>
      <c r="W232" s="4" t="s">
        <v>69</v>
      </c>
      <c r="X232" s="4" t="s">
        <v>70</v>
      </c>
      <c r="Y232" s="4"/>
    </row>
    <row r="233" spans="1:25" ht="41">
      <c r="A233" s="4" t="s">
        <v>2388</v>
      </c>
      <c r="B233" s="4" t="s">
        <v>2378</v>
      </c>
      <c r="C233" s="4" t="s">
        <v>2379</v>
      </c>
      <c r="D233" s="4" t="s">
        <v>2389</v>
      </c>
      <c r="E233" s="4" t="s">
        <v>114</v>
      </c>
      <c r="F233" s="4" t="s">
        <v>115</v>
      </c>
      <c r="G233" s="4" t="s">
        <v>54</v>
      </c>
      <c r="H233" s="4" t="s">
        <v>2390</v>
      </c>
      <c r="I233" s="4" t="s">
        <v>2391</v>
      </c>
      <c r="J233" s="4" t="s">
        <v>2392</v>
      </c>
      <c r="K233" s="4" t="s">
        <v>2393</v>
      </c>
      <c r="L233" s="4" t="s">
        <v>8</v>
      </c>
      <c r="M233" s="4" t="s">
        <v>59</v>
      </c>
      <c r="N233" s="4" t="s">
        <v>60</v>
      </c>
      <c r="O233" s="4" t="s">
        <v>2394</v>
      </c>
      <c r="P233" s="4" t="s">
        <v>62</v>
      </c>
      <c r="Q233" s="4" t="s">
        <v>80</v>
      </c>
      <c r="R233" s="4" t="s">
        <v>2395</v>
      </c>
      <c r="S233" s="4" t="s">
        <v>65</v>
      </c>
      <c r="T233" s="4" t="s">
        <v>2396</v>
      </c>
      <c r="U233" s="4" t="s">
        <v>1810</v>
      </c>
      <c r="V233" s="4" t="s">
        <v>655</v>
      </c>
      <c r="W233" s="4" t="s">
        <v>349</v>
      </c>
      <c r="X233" s="4" t="s">
        <v>70</v>
      </c>
      <c r="Y233" s="4"/>
    </row>
    <row r="234" spans="1:25" ht="54.7">
      <c r="A234" s="4" t="s">
        <v>2397</v>
      </c>
      <c r="B234" s="4" t="s">
        <v>2378</v>
      </c>
      <c r="C234" s="4" t="s">
        <v>2379</v>
      </c>
      <c r="D234" s="4" t="s">
        <v>2398</v>
      </c>
      <c r="E234" s="4" t="s">
        <v>52</v>
      </c>
      <c r="F234" s="4" t="s">
        <v>53</v>
      </c>
      <c r="G234" s="4" t="s">
        <v>54</v>
      </c>
      <c r="H234" s="4" t="s">
        <v>2399</v>
      </c>
      <c r="I234" s="4" t="s">
        <v>2400</v>
      </c>
      <c r="J234" s="4" t="s">
        <v>2401</v>
      </c>
      <c r="K234" s="4" t="s">
        <v>2402</v>
      </c>
      <c r="L234" s="4" t="s">
        <v>8</v>
      </c>
      <c r="M234" s="4" t="s">
        <v>59</v>
      </c>
      <c r="N234" s="4" t="s">
        <v>60</v>
      </c>
      <c r="O234" s="4" t="s">
        <v>2403</v>
      </c>
      <c r="P234" s="4" t="s">
        <v>2404</v>
      </c>
      <c r="Q234" s="4" t="s">
        <v>675</v>
      </c>
      <c r="R234" s="4" t="s">
        <v>675</v>
      </c>
      <c r="S234" s="4" t="s">
        <v>127</v>
      </c>
      <c r="T234" s="4" t="s">
        <v>2405</v>
      </c>
      <c r="U234" s="4" t="s">
        <v>2364</v>
      </c>
      <c r="V234" s="4" t="s">
        <v>138</v>
      </c>
      <c r="W234" s="4" t="s">
        <v>349</v>
      </c>
      <c r="X234" s="4" t="s">
        <v>70</v>
      </c>
      <c r="Y234" s="4"/>
    </row>
    <row r="235" spans="1:25" ht="54.7">
      <c r="A235" s="4" t="s">
        <v>2406</v>
      </c>
      <c r="B235" s="4" t="s">
        <v>2378</v>
      </c>
      <c r="C235" s="4" t="s">
        <v>2379</v>
      </c>
      <c r="D235" s="4" t="s">
        <v>2407</v>
      </c>
      <c r="E235" s="4" t="s">
        <v>52</v>
      </c>
      <c r="F235" s="4" t="s">
        <v>53</v>
      </c>
      <c r="G235" s="4" t="s">
        <v>54</v>
      </c>
      <c r="H235" s="4" t="s">
        <v>2408</v>
      </c>
      <c r="I235" s="4" t="s">
        <v>2409</v>
      </c>
      <c r="J235" s="4" t="s">
        <v>2410</v>
      </c>
      <c r="K235" s="4" t="s">
        <v>2411</v>
      </c>
      <c r="L235" s="4" t="s">
        <v>8</v>
      </c>
      <c r="M235" s="4" t="s">
        <v>59</v>
      </c>
      <c r="N235" s="4" t="s">
        <v>60</v>
      </c>
      <c r="O235" s="4" t="s">
        <v>2412</v>
      </c>
      <c r="P235" s="4" t="s">
        <v>2413</v>
      </c>
      <c r="Q235" s="4" t="s">
        <v>80</v>
      </c>
      <c r="R235" s="4" t="s">
        <v>2414</v>
      </c>
      <c r="S235" s="4" t="s">
        <v>65</v>
      </c>
      <c r="T235" s="4" t="s">
        <v>1074</v>
      </c>
      <c r="U235" s="4" t="s">
        <v>2364</v>
      </c>
      <c r="V235" s="4" t="s">
        <v>138</v>
      </c>
      <c r="W235" s="4" t="s">
        <v>349</v>
      </c>
      <c r="X235" s="4" t="s">
        <v>70</v>
      </c>
      <c r="Y235" s="4"/>
    </row>
    <row r="236" spans="1:25" ht="54.7">
      <c r="A236" s="4" t="s">
        <v>2415</v>
      </c>
      <c r="B236" s="4" t="s">
        <v>2378</v>
      </c>
      <c r="C236" s="4" t="s">
        <v>2379</v>
      </c>
      <c r="D236" s="4" t="s">
        <v>2416</v>
      </c>
      <c r="E236" s="4" t="s">
        <v>2417</v>
      </c>
      <c r="F236" s="4" t="s">
        <v>142</v>
      </c>
      <c r="G236" s="4" t="s">
        <v>54</v>
      </c>
      <c r="H236" s="4" t="s">
        <v>2418</v>
      </c>
      <c r="I236" s="4" t="s">
        <v>2419</v>
      </c>
      <c r="J236" s="4" t="s">
        <v>2420</v>
      </c>
      <c r="K236" s="4" t="s">
        <v>2421</v>
      </c>
      <c r="L236" s="4" t="s">
        <v>8</v>
      </c>
      <c r="M236" s="4" t="s">
        <v>59</v>
      </c>
      <c r="N236" s="4" t="s">
        <v>60</v>
      </c>
      <c r="O236" s="4" t="s">
        <v>2422</v>
      </c>
      <c r="P236" s="4" t="s">
        <v>2423</v>
      </c>
      <c r="Q236" s="4" t="s">
        <v>675</v>
      </c>
      <c r="R236" s="4" t="s">
        <v>2424</v>
      </c>
      <c r="S236" s="4" t="s">
        <v>127</v>
      </c>
      <c r="T236" s="4" t="s">
        <v>2425</v>
      </c>
      <c r="U236" s="4" t="s">
        <v>2364</v>
      </c>
      <c r="V236" s="4" t="s">
        <v>97</v>
      </c>
      <c r="W236" s="4" t="s">
        <v>987</v>
      </c>
      <c r="X236" s="4" t="s">
        <v>70</v>
      </c>
      <c r="Y236" s="4"/>
    </row>
    <row r="237" spans="1:25" ht="54.7">
      <c r="A237" s="4" t="s">
        <v>2426</v>
      </c>
      <c r="B237" s="4" t="s">
        <v>2378</v>
      </c>
      <c r="C237" s="4" t="s">
        <v>2379</v>
      </c>
      <c r="D237" s="4" t="s">
        <v>2427</v>
      </c>
      <c r="E237" s="4" t="s">
        <v>73</v>
      </c>
      <c r="F237" s="4" t="s">
        <v>74</v>
      </c>
      <c r="G237" s="4" t="s">
        <v>776</v>
      </c>
      <c r="H237" s="4" t="s">
        <v>2428</v>
      </c>
      <c r="I237" s="4" t="s">
        <v>2429</v>
      </c>
      <c r="J237" s="4" t="s">
        <v>2430</v>
      </c>
      <c r="K237" s="4" t="s">
        <v>2431</v>
      </c>
      <c r="L237" s="4" t="s">
        <v>8</v>
      </c>
      <c r="M237" s="4" t="s">
        <v>59</v>
      </c>
      <c r="N237" s="4" t="s">
        <v>60</v>
      </c>
      <c r="O237" s="4" t="s">
        <v>2432</v>
      </c>
      <c r="P237" s="4" t="s">
        <v>2423</v>
      </c>
      <c r="Q237" s="4" t="s">
        <v>675</v>
      </c>
      <c r="R237" s="4" t="s">
        <v>2363</v>
      </c>
      <c r="S237" s="4" t="s">
        <v>127</v>
      </c>
      <c r="T237" s="4" t="s">
        <v>2433</v>
      </c>
      <c r="U237" s="4" t="s">
        <v>2434</v>
      </c>
      <c r="V237" s="4" t="s">
        <v>97</v>
      </c>
      <c r="W237" s="4" t="s">
        <v>987</v>
      </c>
      <c r="X237" s="4" t="s">
        <v>70</v>
      </c>
      <c r="Y237" s="4"/>
    </row>
    <row r="238" spans="1:25" ht="54.7">
      <c r="A238" s="4" t="s">
        <v>2435</v>
      </c>
      <c r="B238" s="4" t="s">
        <v>2378</v>
      </c>
      <c r="C238" s="4" t="s">
        <v>2379</v>
      </c>
      <c r="D238" s="4" t="s">
        <v>2436</v>
      </c>
      <c r="E238" s="4" t="s">
        <v>52</v>
      </c>
      <c r="F238" s="4" t="s">
        <v>53</v>
      </c>
      <c r="G238" s="4" t="s">
        <v>54</v>
      </c>
      <c r="H238" s="4" t="s">
        <v>2437</v>
      </c>
      <c r="I238" s="4" t="s">
        <v>2438</v>
      </c>
      <c r="J238" s="4" t="s">
        <v>2439</v>
      </c>
      <c r="K238" s="4" t="s">
        <v>2440</v>
      </c>
      <c r="L238" s="4" t="s">
        <v>8</v>
      </c>
      <c r="M238" s="4" t="s">
        <v>59</v>
      </c>
      <c r="N238" s="4" t="s">
        <v>60</v>
      </c>
      <c r="O238" s="4" t="s">
        <v>2422</v>
      </c>
      <c r="P238" s="4" t="s">
        <v>2423</v>
      </c>
      <c r="Q238" s="4" t="s">
        <v>675</v>
      </c>
      <c r="R238" s="4" t="s">
        <v>2363</v>
      </c>
      <c r="S238" s="4" t="s">
        <v>127</v>
      </c>
      <c r="T238" s="4" t="s">
        <v>2433</v>
      </c>
      <c r="U238" s="4" t="s">
        <v>2434</v>
      </c>
      <c r="V238" s="4" t="s">
        <v>97</v>
      </c>
      <c r="W238" s="4" t="s">
        <v>987</v>
      </c>
      <c r="X238" s="4" t="s">
        <v>70</v>
      </c>
      <c r="Y238" s="4"/>
    </row>
    <row r="239" spans="1:25" ht="54.7">
      <c r="A239" s="4" t="s">
        <v>2441</v>
      </c>
      <c r="B239" s="4" t="s">
        <v>2378</v>
      </c>
      <c r="C239" s="4" t="s">
        <v>2379</v>
      </c>
      <c r="D239" s="4" t="s">
        <v>2442</v>
      </c>
      <c r="E239" s="4" t="s">
        <v>114</v>
      </c>
      <c r="F239" s="4" t="s">
        <v>115</v>
      </c>
      <c r="G239" s="4" t="s">
        <v>54</v>
      </c>
      <c r="H239" s="4" t="s">
        <v>2443</v>
      </c>
      <c r="I239" s="4" t="s">
        <v>2444</v>
      </c>
      <c r="J239" s="4" t="s">
        <v>2445</v>
      </c>
      <c r="K239" s="4" t="s">
        <v>2446</v>
      </c>
      <c r="L239" s="4" t="s">
        <v>8</v>
      </c>
      <c r="M239" s="4" t="s">
        <v>59</v>
      </c>
      <c r="N239" s="4" t="s">
        <v>60</v>
      </c>
      <c r="O239" s="4" t="s">
        <v>2422</v>
      </c>
      <c r="P239" s="4" t="s">
        <v>2447</v>
      </c>
      <c r="Q239" s="4" t="s">
        <v>1396</v>
      </c>
      <c r="R239" s="4" t="s">
        <v>2448</v>
      </c>
      <c r="S239" s="4" t="s">
        <v>127</v>
      </c>
      <c r="T239" s="4" t="s">
        <v>2449</v>
      </c>
      <c r="U239" s="4" t="s">
        <v>2450</v>
      </c>
      <c r="V239" s="4" t="s">
        <v>97</v>
      </c>
      <c r="W239" s="4" t="s">
        <v>349</v>
      </c>
      <c r="X239" s="4" t="s">
        <v>70</v>
      </c>
      <c r="Y239" s="4"/>
    </row>
    <row r="240" spans="1:25" ht="54.7">
      <c r="A240" s="4" t="s">
        <v>2451</v>
      </c>
      <c r="B240" s="4" t="s">
        <v>2378</v>
      </c>
      <c r="C240" s="4" t="s">
        <v>2379</v>
      </c>
      <c r="D240" s="4" t="s">
        <v>2452</v>
      </c>
      <c r="E240" s="4" t="s">
        <v>556</v>
      </c>
      <c r="F240" s="4" t="s">
        <v>127</v>
      </c>
      <c r="G240" s="4" t="s">
        <v>54</v>
      </c>
      <c r="H240" s="4" t="s">
        <v>2453</v>
      </c>
      <c r="I240" s="4" t="s">
        <v>2454</v>
      </c>
      <c r="J240" s="4" t="s">
        <v>2455</v>
      </c>
      <c r="K240" s="4" t="s">
        <v>2456</v>
      </c>
      <c r="L240" s="4" t="s">
        <v>11</v>
      </c>
      <c r="M240" s="4" t="s">
        <v>59</v>
      </c>
      <c r="N240" s="4" t="s">
        <v>60</v>
      </c>
      <c r="O240" s="4" t="s">
        <v>2457</v>
      </c>
      <c r="P240" s="4" t="s">
        <v>2458</v>
      </c>
      <c r="Q240" s="4" t="s">
        <v>675</v>
      </c>
      <c r="R240" s="4" t="s">
        <v>675</v>
      </c>
      <c r="S240" s="4" t="s">
        <v>127</v>
      </c>
      <c r="T240" s="4" t="s">
        <v>2459</v>
      </c>
      <c r="U240" s="4" t="s">
        <v>2460</v>
      </c>
      <c r="V240" s="4" t="s">
        <v>655</v>
      </c>
      <c r="W240" s="4" t="s">
        <v>349</v>
      </c>
      <c r="X240" s="4" t="s">
        <v>70</v>
      </c>
      <c r="Y240" s="4"/>
    </row>
    <row r="241" spans="1:25" ht="54.7">
      <c r="A241" s="4" t="s">
        <v>2461</v>
      </c>
      <c r="B241" s="4" t="s">
        <v>2378</v>
      </c>
      <c r="C241" s="4" t="s">
        <v>2379</v>
      </c>
      <c r="D241" s="4" t="s">
        <v>2462</v>
      </c>
      <c r="E241" s="4" t="s">
        <v>52</v>
      </c>
      <c r="F241" s="4" t="s">
        <v>53</v>
      </c>
      <c r="G241" s="4" t="s">
        <v>54</v>
      </c>
      <c r="H241" s="4" t="s">
        <v>2463</v>
      </c>
      <c r="I241" s="4" t="s">
        <v>2464</v>
      </c>
      <c r="J241" s="4" t="s">
        <v>2465</v>
      </c>
      <c r="K241" s="4" t="s">
        <v>2466</v>
      </c>
      <c r="L241" s="4" t="s">
        <v>8</v>
      </c>
      <c r="M241" s="4" t="s">
        <v>59</v>
      </c>
      <c r="N241" s="4" t="s">
        <v>60</v>
      </c>
      <c r="O241" s="4" t="s">
        <v>2467</v>
      </c>
      <c r="P241" s="4" t="s">
        <v>2245</v>
      </c>
      <c r="Q241" s="4" t="s">
        <v>80</v>
      </c>
      <c r="R241" s="4" t="s">
        <v>2468</v>
      </c>
      <c r="S241" s="4" t="s">
        <v>65</v>
      </c>
      <c r="T241" s="4" t="s">
        <v>675</v>
      </c>
      <c r="U241" s="4" t="s">
        <v>2469</v>
      </c>
      <c r="V241" s="4" t="s">
        <v>2470</v>
      </c>
      <c r="W241" s="4" t="s">
        <v>349</v>
      </c>
      <c r="X241" s="4" t="s">
        <v>70</v>
      </c>
      <c r="Y241" s="4"/>
    </row>
    <row r="242" spans="1:25" ht="54.7">
      <c r="A242" s="4" t="s">
        <v>2471</v>
      </c>
      <c r="B242" s="4" t="s">
        <v>2472</v>
      </c>
      <c r="C242" s="4" t="s">
        <v>2473</v>
      </c>
      <c r="D242" s="4" t="s">
        <v>2474</v>
      </c>
      <c r="E242" s="4" t="s">
        <v>2475</v>
      </c>
      <c r="F242" s="4" t="s">
        <v>127</v>
      </c>
      <c r="G242" s="4" t="s">
        <v>128</v>
      </c>
      <c r="H242" s="4" t="s">
        <v>2476</v>
      </c>
      <c r="I242" s="4" t="s">
        <v>2477</v>
      </c>
      <c r="J242" s="4" t="s">
        <v>2478</v>
      </c>
      <c r="K242" s="4" t="s">
        <v>2479</v>
      </c>
      <c r="L242" s="4" t="s">
        <v>8</v>
      </c>
      <c r="M242" s="4" t="s">
        <v>59</v>
      </c>
      <c r="N242" s="4" t="s">
        <v>60</v>
      </c>
      <c r="O242" s="4" t="s">
        <v>2480</v>
      </c>
      <c r="P242" s="4" t="s">
        <v>2481</v>
      </c>
      <c r="Q242" s="4" t="s">
        <v>80</v>
      </c>
      <c r="R242" s="4" t="s">
        <v>2482</v>
      </c>
      <c r="S242" s="4" t="s">
        <v>65</v>
      </c>
      <c r="T242" s="4" t="s">
        <v>2483</v>
      </c>
      <c r="U242" s="4" t="s">
        <v>2023</v>
      </c>
      <c r="V242" s="4" t="s">
        <v>214</v>
      </c>
      <c r="W242" s="4" t="s">
        <v>291</v>
      </c>
      <c r="X242" s="4" t="s">
        <v>70</v>
      </c>
      <c r="Y242" s="4"/>
    </row>
    <row r="243" spans="1:25" ht="54.7">
      <c r="A243" s="4" t="s">
        <v>2484</v>
      </c>
      <c r="B243" s="4" t="s">
        <v>2472</v>
      </c>
      <c r="C243" s="4" t="s">
        <v>2473</v>
      </c>
      <c r="D243" s="4" t="s">
        <v>2485</v>
      </c>
      <c r="E243" s="4" t="s">
        <v>190</v>
      </c>
      <c r="F243" s="4" t="s">
        <v>191</v>
      </c>
      <c r="G243" s="4" t="s">
        <v>776</v>
      </c>
      <c r="H243" s="4" t="s">
        <v>2486</v>
      </c>
      <c r="I243" s="4" t="s">
        <v>2487</v>
      </c>
      <c r="J243" s="4" t="s">
        <v>2488</v>
      </c>
      <c r="K243" s="4" t="s">
        <v>2489</v>
      </c>
      <c r="L243" s="4" t="s">
        <v>8</v>
      </c>
      <c r="M243" s="4" t="s">
        <v>59</v>
      </c>
      <c r="N243" s="4" t="s">
        <v>60</v>
      </c>
      <c r="O243" s="4" t="s">
        <v>996</v>
      </c>
      <c r="P243" s="4" t="s">
        <v>1065</v>
      </c>
      <c r="Q243" s="4" t="s">
        <v>80</v>
      </c>
      <c r="R243" s="4" t="s">
        <v>2490</v>
      </c>
      <c r="S243" s="4" t="s">
        <v>65</v>
      </c>
      <c r="T243" s="4" t="s">
        <v>2491</v>
      </c>
      <c r="U243" s="4" t="s">
        <v>772</v>
      </c>
      <c r="V243" s="4" t="s">
        <v>97</v>
      </c>
      <c r="W243" s="4" t="s">
        <v>773</v>
      </c>
      <c r="X243" s="4" t="s">
        <v>70</v>
      </c>
      <c r="Y243" s="4"/>
    </row>
    <row r="244" spans="1:25" ht="54.7">
      <c r="A244" s="4" t="s">
        <v>2492</v>
      </c>
      <c r="B244" s="4" t="s">
        <v>2472</v>
      </c>
      <c r="C244" s="4" t="s">
        <v>2473</v>
      </c>
      <c r="D244" s="4" t="s">
        <v>2493</v>
      </c>
      <c r="E244" s="4" t="s">
        <v>254</v>
      </c>
      <c r="F244" s="4" t="s">
        <v>255</v>
      </c>
      <c r="G244" s="4" t="s">
        <v>54</v>
      </c>
      <c r="H244" s="4" t="s">
        <v>2494</v>
      </c>
      <c r="I244" s="4" t="s">
        <v>2495</v>
      </c>
      <c r="J244" s="4" t="s">
        <v>2496</v>
      </c>
      <c r="K244" s="4" t="s">
        <v>2497</v>
      </c>
      <c r="L244" s="4" t="s">
        <v>8</v>
      </c>
      <c r="M244" s="4" t="s">
        <v>59</v>
      </c>
      <c r="N244" s="4" t="s">
        <v>60</v>
      </c>
      <c r="O244" s="4" t="s">
        <v>1160</v>
      </c>
      <c r="P244" s="4" t="s">
        <v>2498</v>
      </c>
      <c r="Q244" s="4" t="s">
        <v>2499</v>
      </c>
      <c r="R244" s="4" t="s">
        <v>2500</v>
      </c>
      <c r="S244" s="4" t="s">
        <v>65</v>
      </c>
      <c r="T244" s="4" t="s">
        <v>959</v>
      </c>
      <c r="U244" s="4" t="s">
        <v>1130</v>
      </c>
      <c r="V244" s="4" t="s">
        <v>97</v>
      </c>
      <c r="W244" s="4" t="s">
        <v>773</v>
      </c>
      <c r="X244" s="4" t="s">
        <v>70</v>
      </c>
      <c r="Y244" s="4"/>
    </row>
    <row r="245" spans="1:25" ht="54.7">
      <c r="A245" s="4" t="s">
        <v>2501</v>
      </c>
      <c r="B245" s="4" t="s">
        <v>2472</v>
      </c>
      <c r="C245" s="4" t="s">
        <v>2473</v>
      </c>
      <c r="D245" s="4" t="s">
        <v>2502</v>
      </c>
      <c r="E245" s="4" t="s">
        <v>190</v>
      </c>
      <c r="F245" s="4" t="s">
        <v>191</v>
      </c>
      <c r="G245" s="4" t="s">
        <v>128</v>
      </c>
      <c r="H245" s="4" t="s">
        <v>2503</v>
      </c>
      <c r="I245" s="4" t="s">
        <v>2504</v>
      </c>
      <c r="J245" s="4" t="s">
        <v>2505</v>
      </c>
      <c r="K245" s="4" t="s">
        <v>2506</v>
      </c>
      <c r="L245" s="4" t="s">
        <v>8</v>
      </c>
      <c r="M245" s="4" t="s">
        <v>59</v>
      </c>
      <c r="N245" s="4" t="s">
        <v>60</v>
      </c>
      <c r="O245" s="4" t="s">
        <v>1462</v>
      </c>
      <c r="P245" s="4" t="s">
        <v>2507</v>
      </c>
      <c r="Q245" s="4" t="s">
        <v>80</v>
      </c>
      <c r="R245" s="4" t="s">
        <v>2508</v>
      </c>
      <c r="S245" s="4" t="s">
        <v>65</v>
      </c>
      <c r="T245" s="4" t="s">
        <v>2509</v>
      </c>
      <c r="U245" s="4" t="s">
        <v>909</v>
      </c>
      <c r="V245" s="4" t="s">
        <v>655</v>
      </c>
      <c r="W245" s="4" t="s">
        <v>773</v>
      </c>
      <c r="X245" s="4" t="s">
        <v>70</v>
      </c>
      <c r="Y245" s="4"/>
    </row>
    <row r="246" spans="1:25" ht="54.7">
      <c r="A246" s="4" t="s">
        <v>2510</v>
      </c>
      <c r="B246" s="4" t="s">
        <v>2472</v>
      </c>
      <c r="C246" s="4" t="s">
        <v>2473</v>
      </c>
      <c r="D246" s="4" t="s">
        <v>2511</v>
      </c>
      <c r="E246" s="4" t="s">
        <v>52</v>
      </c>
      <c r="F246" s="4" t="s">
        <v>53</v>
      </c>
      <c r="G246" s="4" t="s">
        <v>853</v>
      </c>
      <c r="H246" s="4" t="s">
        <v>2512</v>
      </c>
      <c r="I246" s="4" t="s">
        <v>2513</v>
      </c>
      <c r="J246" s="4" t="s">
        <v>2514</v>
      </c>
      <c r="K246" s="4" t="s">
        <v>2515</v>
      </c>
      <c r="L246" s="4" t="s">
        <v>14</v>
      </c>
      <c r="M246" s="4" t="s">
        <v>168</v>
      </c>
      <c r="N246" s="4" t="s">
        <v>169</v>
      </c>
      <c r="O246" s="4" t="s">
        <v>816</v>
      </c>
      <c r="P246" s="4" t="s">
        <v>2516</v>
      </c>
      <c r="Q246" s="4" t="s">
        <v>1374</v>
      </c>
      <c r="R246" s="4" t="s">
        <v>2517</v>
      </c>
      <c r="S246" s="4" t="s">
        <v>65</v>
      </c>
      <c r="T246" s="4" t="s">
        <v>2518</v>
      </c>
      <c r="U246" s="4" t="s">
        <v>889</v>
      </c>
      <c r="V246" s="4" t="s">
        <v>97</v>
      </c>
      <c r="W246" s="4" t="s">
        <v>773</v>
      </c>
      <c r="X246" s="4" t="s">
        <v>70</v>
      </c>
      <c r="Y246" s="4"/>
    </row>
    <row r="247" spans="1:25" ht="54.7">
      <c r="A247" s="4" t="s">
        <v>2519</v>
      </c>
      <c r="B247" s="4" t="s">
        <v>2472</v>
      </c>
      <c r="C247" s="4" t="s">
        <v>2473</v>
      </c>
      <c r="D247" s="4" t="s">
        <v>2520</v>
      </c>
      <c r="E247" s="4" t="s">
        <v>1263</v>
      </c>
      <c r="F247" s="4" t="s">
        <v>74</v>
      </c>
      <c r="G247" s="4" t="s">
        <v>1174</v>
      </c>
      <c r="H247" s="4" t="s">
        <v>2521</v>
      </c>
      <c r="I247" s="4" t="s">
        <v>2522</v>
      </c>
      <c r="J247" s="4" t="s">
        <v>2523</v>
      </c>
      <c r="K247" s="4" t="s">
        <v>2524</v>
      </c>
      <c r="L247" s="4" t="s">
        <v>11</v>
      </c>
      <c r="M247" s="4" t="s">
        <v>59</v>
      </c>
      <c r="N247" s="4" t="s">
        <v>60</v>
      </c>
      <c r="O247" s="4" t="s">
        <v>1268</v>
      </c>
      <c r="P247" s="4" t="s">
        <v>2525</v>
      </c>
      <c r="Q247" s="4" t="s">
        <v>80</v>
      </c>
      <c r="R247" s="4" t="s">
        <v>2526</v>
      </c>
      <c r="S247" s="4" t="s">
        <v>65</v>
      </c>
      <c r="T247" s="4" t="s">
        <v>1270</v>
      </c>
      <c r="U247" s="4" t="s">
        <v>909</v>
      </c>
      <c r="V247" s="4" t="s">
        <v>97</v>
      </c>
      <c r="W247" s="4" t="s">
        <v>773</v>
      </c>
      <c r="X247" s="4" t="s">
        <v>70</v>
      </c>
      <c r="Y247" s="4"/>
    </row>
    <row r="248" spans="1:25" ht="54.7">
      <c r="A248" s="4" t="s">
        <v>2527</v>
      </c>
      <c r="B248" s="4" t="s">
        <v>2472</v>
      </c>
      <c r="C248" s="4" t="s">
        <v>2473</v>
      </c>
      <c r="D248" s="4" t="s">
        <v>2528</v>
      </c>
      <c r="E248" s="4" t="s">
        <v>177</v>
      </c>
      <c r="F248" s="4" t="s">
        <v>163</v>
      </c>
      <c r="G248" s="4" t="s">
        <v>178</v>
      </c>
      <c r="H248" s="4" t="s">
        <v>2529</v>
      </c>
      <c r="I248" s="4" t="s">
        <v>2530</v>
      </c>
      <c r="J248" s="4" t="s">
        <v>2531</v>
      </c>
      <c r="K248" s="4" t="s">
        <v>2532</v>
      </c>
      <c r="L248" s="4" t="s">
        <v>8</v>
      </c>
      <c r="M248" s="4" t="s">
        <v>59</v>
      </c>
      <c r="N248" s="4" t="s">
        <v>60</v>
      </c>
      <c r="O248" s="4" t="s">
        <v>2533</v>
      </c>
      <c r="P248" s="4" t="s">
        <v>2534</v>
      </c>
      <c r="Q248" s="4" t="s">
        <v>80</v>
      </c>
      <c r="R248" s="4" t="s">
        <v>2535</v>
      </c>
      <c r="S248" s="4" t="s">
        <v>65</v>
      </c>
      <c r="T248" s="4" t="s">
        <v>2536</v>
      </c>
      <c r="U248" s="4" t="s">
        <v>1810</v>
      </c>
      <c r="V248" s="4" t="s">
        <v>97</v>
      </c>
      <c r="W248" s="4" t="s">
        <v>98</v>
      </c>
      <c r="X248" s="4" t="s">
        <v>70</v>
      </c>
      <c r="Y248" s="4"/>
    </row>
    <row r="249" spans="1:25" ht="54.7">
      <c r="A249" s="4" t="s">
        <v>2537</v>
      </c>
      <c r="B249" s="4" t="s">
        <v>2472</v>
      </c>
      <c r="C249" s="4" t="s">
        <v>2473</v>
      </c>
      <c r="D249" s="4" t="s">
        <v>2538</v>
      </c>
      <c r="E249" s="4" t="s">
        <v>190</v>
      </c>
      <c r="F249" s="4" t="s">
        <v>191</v>
      </c>
      <c r="G249" s="4" t="s">
        <v>776</v>
      </c>
      <c r="H249" s="4" t="s">
        <v>2539</v>
      </c>
      <c r="I249" s="4" t="s">
        <v>2540</v>
      </c>
      <c r="J249" s="4" t="s">
        <v>2541</v>
      </c>
      <c r="K249" s="4" t="s">
        <v>2542</v>
      </c>
      <c r="L249" s="4" t="s">
        <v>11</v>
      </c>
      <c r="M249" s="4" t="s">
        <v>168</v>
      </c>
      <c r="N249" s="4" t="s">
        <v>169</v>
      </c>
      <c r="O249" s="4" t="s">
        <v>1433</v>
      </c>
      <c r="P249" s="4" t="s">
        <v>2543</v>
      </c>
      <c r="Q249" s="4" t="s">
        <v>80</v>
      </c>
      <c r="R249" s="4" t="s">
        <v>2490</v>
      </c>
      <c r="S249" s="4" t="s">
        <v>65</v>
      </c>
      <c r="T249" s="4" t="s">
        <v>1549</v>
      </c>
      <c r="U249" s="4" t="s">
        <v>772</v>
      </c>
      <c r="V249" s="4" t="s">
        <v>97</v>
      </c>
      <c r="W249" s="4" t="s">
        <v>773</v>
      </c>
      <c r="X249" s="4" t="s">
        <v>70</v>
      </c>
      <c r="Y249" s="4"/>
    </row>
    <row r="250" spans="1:25" ht="54.7">
      <c r="A250" s="4" t="s">
        <v>2544</v>
      </c>
      <c r="B250" s="4" t="s">
        <v>2472</v>
      </c>
      <c r="C250" s="4" t="s">
        <v>2473</v>
      </c>
      <c r="D250" s="4" t="s">
        <v>2545</v>
      </c>
      <c r="E250" s="4" t="s">
        <v>177</v>
      </c>
      <c r="F250" s="4" t="s">
        <v>163</v>
      </c>
      <c r="G250" s="4" t="s">
        <v>128</v>
      </c>
      <c r="H250" s="4" t="s">
        <v>2546</v>
      </c>
      <c r="I250" s="4" t="s">
        <v>2547</v>
      </c>
      <c r="J250" s="4" t="s">
        <v>2548</v>
      </c>
      <c r="K250" s="4" t="s">
        <v>2549</v>
      </c>
      <c r="L250" s="4" t="s">
        <v>14</v>
      </c>
      <c r="M250" s="4" t="s">
        <v>168</v>
      </c>
      <c r="N250" s="4" t="s">
        <v>169</v>
      </c>
      <c r="O250" s="4" t="s">
        <v>2550</v>
      </c>
      <c r="P250" s="4" t="s">
        <v>2551</v>
      </c>
      <c r="Q250" s="4" t="s">
        <v>2552</v>
      </c>
      <c r="R250" s="4" t="s">
        <v>2553</v>
      </c>
      <c r="S250" s="4" t="s">
        <v>65</v>
      </c>
      <c r="T250" s="4" t="s">
        <v>1376</v>
      </c>
      <c r="U250" s="4" t="s">
        <v>909</v>
      </c>
      <c r="V250" s="4" t="s">
        <v>97</v>
      </c>
      <c r="W250" s="4" t="s">
        <v>773</v>
      </c>
      <c r="X250" s="4" t="s">
        <v>70</v>
      </c>
      <c r="Y250" s="4"/>
    </row>
    <row r="251" spans="1:25" ht="54.7">
      <c r="A251" s="4" t="s">
        <v>2554</v>
      </c>
      <c r="B251" s="4" t="s">
        <v>2472</v>
      </c>
      <c r="C251" s="4" t="s">
        <v>2473</v>
      </c>
      <c r="D251" s="4" t="s">
        <v>2555</v>
      </c>
      <c r="E251" s="4" t="s">
        <v>126</v>
      </c>
      <c r="F251" s="4" t="s">
        <v>127</v>
      </c>
      <c r="G251" s="4" t="s">
        <v>128</v>
      </c>
      <c r="H251" s="4" t="s">
        <v>2556</v>
      </c>
      <c r="I251" s="4" t="s">
        <v>2557</v>
      </c>
      <c r="J251" s="4" t="s">
        <v>2558</v>
      </c>
      <c r="K251" s="4" t="s">
        <v>2559</v>
      </c>
      <c r="L251" s="4" t="s">
        <v>14</v>
      </c>
      <c r="M251" s="4" t="s">
        <v>168</v>
      </c>
      <c r="N251" s="4" t="s">
        <v>169</v>
      </c>
      <c r="O251" s="4" t="s">
        <v>2560</v>
      </c>
      <c r="P251" s="4" t="s">
        <v>2561</v>
      </c>
      <c r="Q251" s="4" t="s">
        <v>1374</v>
      </c>
      <c r="R251" s="4" t="s">
        <v>2562</v>
      </c>
      <c r="S251" s="4" t="s">
        <v>65</v>
      </c>
      <c r="T251" s="4" t="s">
        <v>2563</v>
      </c>
      <c r="U251" s="4" t="s">
        <v>1358</v>
      </c>
      <c r="V251" s="4" t="s">
        <v>138</v>
      </c>
      <c r="W251" s="4" t="s">
        <v>773</v>
      </c>
      <c r="X251" s="4" t="s">
        <v>70</v>
      </c>
      <c r="Y251" s="4"/>
    </row>
    <row r="252" spans="1:25" ht="54.7">
      <c r="A252" s="4" t="s">
        <v>2564</v>
      </c>
      <c r="B252" s="4" t="s">
        <v>2472</v>
      </c>
      <c r="C252" s="4" t="s">
        <v>2473</v>
      </c>
      <c r="D252" s="4" t="s">
        <v>2565</v>
      </c>
      <c r="E252" s="4" t="s">
        <v>126</v>
      </c>
      <c r="F252" s="4" t="s">
        <v>127</v>
      </c>
      <c r="G252" s="4" t="s">
        <v>178</v>
      </c>
      <c r="H252" s="4" t="s">
        <v>2566</v>
      </c>
      <c r="I252" s="4" t="s">
        <v>2567</v>
      </c>
      <c r="J252" s="4" t="s">
        <v>2568</v>
      </c>
      <c r="K252" s="4" t="s">
        <v>2569</v>
      </c>
      <c r="L252" s="4" t="s">
        <v>11</v>
      </c>
      <c r="M252" s="4" t="s">
        <v>168</v>
      </c>
      <c r="N252" s="4" t="s">
        <v>169</v>
      </c>
      <c r="O252" s="4" t="s">
        <v>2570</v>
      </c>
      <c r="P252" s="4" t="s">
        <v>1808</v>
      </c>
      <c r="Q252" s="4" t="s">
        <v>486</v>
      </c>
      <c r="R252" s="4" t="s">
        <v>2571</v>
      </c>
      <c r="S252" s="4" t="s">
        <v>127</v>
      </c>
      <c r="T252" s="4" t="s">
        <v>2572</v>
      </c>
      <c r="U252" s="4" t="s">
        <v>2573</v>
      </c>
      <c r="V252" s="4" t="s">
        <v>83</v>
      </c>
      <c r="W252" s="4" t="s">
        <v>291</v>
      </c>
      <c r="X252" s="4" t="s">
        <v>70</v>
      </c>
      <c r="Y252" s="4"/>
    </row>
    <row r="253" spans="1:25" ht="54.7">
      <c r="A253" s="4" t="s">
        <v>2574</v>
      </c>
      <c r="B253" s="4" t="s">
        <v>2472</v>
      </c>
      <c r="C253" s="4" t="s">
        <v>2473</v>
      </c>
      <c r="D253" s="4" t="s">
        <v>2575</v>
      </c>
      <c r="E253" s="4" t="s">
        <v>126</v>
      </c>
      <c r="F253" s="4" t="s">
        <v>127</v>
      </c>
      <c r="G253" s="4" t="s">
        <v>128</v>
      </c>
      <c r="H253" s="4" t="s">
        <v>2576</v>
      </c>
      <c r="I253" s="4" t="s">
        <v>2577</v>
      </c>
      <c r="J253" s="4" t="s">
        <v>2578</v>
      </c>
      <c r="K253" s="4" t="s">
        <v>2579</v>
      </c>
      <c r="L253" s="4" t="s">
        <v>8</v>
      </c>
      <c r="M253" s="4" t="s">
        <v>59</v>
      </c>
      <c r="N253" s="4" t="s">
        <v>60</v>
      </c>
      <c r="O253" s="4" t="s">
        <v>2580</v>
      </c>
      <c r="P253" s="4" t="s">
        <v>2581</v>
      </c>
      <c r="Q253" s="4" t="s">
        <v>2582</v>
      </c>
      <c r="R253" s="4" t="s">
        <v>2583</v>
      </c>
      <c r="S253" s="4" t="s">
        <v>127</v>
      </c>
      <c r="T253" s="4" t="s">
        <v>2584</v>
      </c>
      <c r="U253" s="4" t="s">
        <v>2585</v>
      </c>
      <c r="V253" s="4" t="s">
        <v>97</v>
      </c>
      <c r="W253" s="4" t="s">
        <v>291</v>
      </c>
      <c r="X253" s="4" t="s">
        <v>70</v>
      </c>
      <c r="Y253" s="4"/>
    </row>
    <row r="254" spans="1:25" ht="54.7">
      <c r="A254" s="4" t="s">
        <v>2586</v>
      </c>
      <c r="B254" s="4" t="s">
        <v>2587</v>
      </c>
      <c r="C254" s="4" t="s">
        <v>2588</v>
      </c>
      <c r="D254" s="4" t="s">
        <v>2589</v>
      </c>
      <c r="E254" s="4" t="s">
        <v>2590</v>
      </c>
      <c r="F254" s="4" t="s">
        <v>2591</v>
      </c>
      <c r="G254" s="4" t="s">
        <v>178</v>
      </c>
      <c r="H254" s="4" t="s">
        <v>2592</v>
      </c>
      <c r="I254" s="4" t="s">
        <v>2593</v>
      </c>
      <c r="J254" s="4" t="s">
        <v>2594</v>
      </c>
      <c r="K254" s="4" t="s">
        <v>2595</v>
      </c>
      <c r="L254" s="4" t="s">
        <v>14</v>
      </c>
      <c r="M254" s="4" t="s">
        <v>1526</v>
      </c>
      <c r="N254" s="4" t="s">
        <v>169</v>
      </c>
      <c r="O254" s="4" t="s">
        <v>2596</v>
      </c>
      <c r="P254" s="4" t="s">
        <v>2597</v>
      </c>
      <c r="Q254" s="4" t="s">
        <v>80</v>
      </c>
      <c r="R254" s="4" t="s">
        <v>2598</v>
      </c>
      <c r="S254" s="4" t="s">
        <v>65</v>
      </c>
      <c r="T254" s="4" t="s">
        <v>2599</v>
      </c>
      <c r="U254" s="4" t="s">
        <v>1502</v>
      </c>
      <c r="V254" s="4" t="s">
        <v>2600</v>
      </c>
      <c r="W254" s="4" t="s">
        <v>2601</v>
      </c>
      <c r="X254" s="4" t="s">
        <v>70</v>
      </c>
      <c r="Y254" s="4"/>
    </row>
    <row r="255" spans="1:25" ht="54.7">
      <c r="A255" s="4" t="s">
        <v>2602</v>
      </c>
      <c r="B255" s="4" t="s">
        <v>2587</v>
      </c>
      <c r="C255" s="4" t="s">
        <v>2588</v>
      </c>
      <c r="D255" s="4" t="s">
        <v>2603</v>
      </c>
      <c r="E255" s="4" t="s">
        <v>2604</v>
      </c>
      <c r="F255" s="4" t="s">
        <v>2591</v>
      </c>
      <c r="G255" s="4" t="s">
        <v>128</v>
      </c>
      <c r="H255" s="4" t="s">
        <v>2605</v>
      </c>
      <c r="I255" s="4" t="s">
        <v>2606</v>
      </c>
      <c r="J255" s="4" t="s">
        <v>2607</v>
      </c>
      <c r="K255" s="4" t="s">
        <v>2608</v>
      </c>
      <c r="L255" s="4" t="s">
        <v>14</v>
      </c>
      <c r="M255" s="4" t="s">
        <v>1526</v>
      </c>
      <c r="N255" s="4" t="s">
        <v>169</v>
      </c>
      <c r="O255" s="4" t="s">
        <v>2609</v>
      </c>
      <c r="P255" s="4" t="s">
        <v>2610</v>
      </c>
      <c r="Q255" s="4" t="s">
        <v>80</v>
      </c>
      <c r="R255" s="4" t="s">
        <v>2611</v>
      </c>
      <c r="S255" s="4" t="s">
        <v>65</v>
      </c>
      <c r="T255" s="4" t="s">
        <v>2612</v>
      </c>
      <c r="U255" s="4" t="s">
        <v>2613</v>
      </c>
      <c r="V255" s="4" t="s">
        <v>214</v>
      </c>
      <c r="W255" s="4" t="s">
        <v>2601</v>
      </c>
      <c r="X255" s="4" t="s">
        <v>70</v>
      </c>
      <c r="Y255" s="4"/>
    </row>
    <row r="256" spans="1:25" ht="54.7">
      <c r="A256" s="4" t="s">
        <v>2614</v>
      </c>
      <c r="B256" s="4" t="s">
        <v>2587</v>
      </c>
      <c r="C256" s="4" t="s">
        <v>2588</v>
      </c>
      <c r="D256" s="4" t="s">
        <v>2615</v>
      </c>
      <c r="E256" s="4" t="s">
        <v>141</v>
      </c>
      <c r="F256" s="4" t="s">
        <v>142</v>
      </c>
      <c r="G256" s="4" t="s">
        <v>128</v>
      </c>
      <c r="H256" s="4" t="s">
        <v>2616</v>
      </c>
      <c r="I256" s="4" t="s">
        <v>2617</v>
      </c>
      <c r="J256" s="4" t="s">
        <v>2618</v>
      </c>
      <c r="K256" s="4" t="s">
        <v>2619</v>
      </c>
      <c r="L256" s="4" t="s">
        <v>8</v>
      </c>
      <c r="M256" s="4" t="s">
        <v>2620</v>
      </c>
      <c r="N256" s="4" t="s">
        <v>169</v>
      </c>
      <c r="O256" s="4" t="s">
        <v>2621</v>
      </c>
      <c r="P256" s="4" t="s">
        <v>2622</v>
      </c>
      <c r="Q256" s="4" t="s">
        <v>80</v>
      </c>
      <c r="R256" s="4" t="s">
        <v>2623</v>
      </c>
      <c r="S256" s="4" t="s">
        <v>65</v>
      </c>
      <c r="T256" s="4" t="s">
        <v>2624</v>
      </c>
      <c r="U256" s="4" t="s">
        <v>2625</v>
      </c>
      <c r="V256" s="4" t="s">
        <v>97</v>
      </c>
      <c r="W256" s="4" t="s">
        <v>98</v>
      </c>
      <c r="X256" s="4" t="s">
        <v>70</v>
      </c>
      <c r="Y256" s="4"/>
    </row>
    <row r="257" spans="1:25" ht="54.7">
      <c r="A257" s="4" t="s">
        <v>2626</v>
      </c>
      <c r="B257" s="4" t="s">
        <v>2587</v>
      </c>
      <c r="C257" s="4" t="s">
        <v>2588</v>
      </c>
      <c r="D257" s="4" t="s">
        <v>2627</v>
      </c>
      <c r="E257" s="4" t="s">
        <v>73</v>
      </c>
      <c r="F257" s="4" t="s">
        <v>74</v>
      </c>
      <c r="G257" s="4" t="s">
        <v>54</v>
      </c>
      <c r="H257" s="4" t="s">
        <v>2628</v>
      </c>
      <c r="I257" s="4" t="s">
        <v>2629</v>
      </c>
      <c r="J257" s="4" t="s">
        <v>2630</v>
      </c>
      <c r="K257" s="4" t="s">
        <v>2631</v>
      </c>
      <c r="L257" s="4" t="s">
        <v>14</v>
      </c>
      <c r="M257" s="4" t="s">
        <v>1526</v>
      </c>
      <c r="N257" s="4" t="s">
        <v>169</v>
      </c>
      <c r="O257" s="4" t="s">
        <v>2632</v>
      </c>
      <c r="P257" s="4" t="s">
        <v>2633</v>
      </c>
      <c r="Q257" s="4" t="s">
        <v>80</v>
      </c>
      <c r="R257" s="4" t="s">
        <v>2634</v>
      </c>
      <c r="S257" s="4" t="s">
        <v>65</v>
      </c>
      <c r="T257" s="4" t="s">
        <v>2635</v>
      </c>
      <c r="U257" s="4" t="s">
        <v>2636</v>
      </c>
      <c r="V257" s="4" t="s">
        <v>809</v>
      </c>
      <c r="W257" s="4" t="s">
        <v>2601</v>
      </c>
      <c r="X257" s="4" t="s">
        <v>70</v>
      </c>
      <c r="Y257" s="4"/>
    </row>
    <row r="258" spans="1:25" ht="54.7">
      <c r="A258" s="4" t="s">
        <v>2637</v>
      </c>
      <c r="B258" s="4" t="s">
        <v>2587</v>
      </c>
      <c r="C258" s="4" t="s">
        <v>2588</v>
      </c>
      <c r="D258" s="4" t="s">
        <v>2638</v>
      </c>
      <c r="E258" s="4" t="s">
        <v>73</v>
      </c>
      <c r="F258" s="4" t="s">
        <v>74</v>
      </c>
      <c r="G258" s="4" t="s">
        <v>54</v>
      </c>
      <c r="H258" s="4" t="s">
        <v>2639</v>
      </c>
      <c r="I258" s="4" t="s">
        <v>2640</v>
      </c>
      <c r="J258" s="4" t="s">
        <v>2641</v>
      </c>
      <c r="K258" s="4" t="s">
        <v>2642</v>
      </c>
      <c r="L258" s="4" t="s">
        <v>14</v>
      </c>
      <c r="M258" s="4" t="s">
        <v>1526</v>
      </c>
      <c r="N258" s="4" t="s">
        <v>169</v>
      </c>
      <c r="O258" s="4" t="s">
        <v>2643</v>
      </c>
      <c r="P258" s="4" t="s">
        <v>2633</v>
      </c>
      <c r="Q258" s="4" t="s">
        <v>80</v>
      </c>
      <c r="R258" s="4" t="s">
        <v>2644</v>
      </c>
      <c r="S258" s="4" t="s">
        <v>65</v>
      </c>
      <c r="T258" s="4" t="s">
        <v>2645</v>
      </c>
      <c r="U258" s="4" t="s">
        <v>2636</v>
      </c>
      <c r="V258" s="4" t="s">
        <v>138</v>
      </c>
      <c r="W258" s="4" t="s">
        <v>2601</v>
      </c>
      <c r="X258" s="4" t="s">
        <v>70</v>
      </c>
      <c r="Y258" s="4"/>
    </row>
    <row r="259" spans="1:25" ht="54.7">
      <c r="A259" s="4" t="s">
        <v>2646</v>
      </c>
      <c r="B259" s="4" t="s">
        <v>2587</v>
      </c>
      <c r="C259" s="4" t="s">
        <v>2588</v>
      </c>
      <c r="D259" s="4" t="s">
        <v>2647</v>
      </c>
      <c r="E259" s="4" t="s">
        <v>190</v>
      </c>
      <c r="F259" s="4" t="s">
        <v>191</v>
      </c>
      <c r="G259" s="4" t="s">
        <v>776</v>
      </c>
      <c r="H259" s="4" t="s">
        <v>2648</v>
      </c>
      <c r="I259" s="4" t="s">
        <v>2649</v>
      </c>
      <c r="J259" s="4" t="s">
        <v>2650</v>
      </c>
      <c r="K259" s="4" t="s">
        <v>2651</v>
      </c>
      <c r="L259" s="4" t="s">
        <v>14</v>
      </c>
      <c r="M259" s="4" t="s">
        <v>1526</v>
      </c>
      <c r="N259" s="4" t="s">
        <v>169</v>
      </c>
      <c r="O259" s="4" t="s">
        <v>2652</v>
      </c>
      <c r="P259" s="4" t="s">
        <v>2653</v>
      </c>
      <c r="Q259" s="4" t="s">
        <v>80</v>
      </c>
      <c r="R259" s="4" t="s">
        <v>2654</v>
      </c>
      <c r="S259" s="4" t="s">
        <v>65</v>
      </c>
      <c r="T259" s="4" t="s">
        <v>2655</v>
      </c>
      <c r="U259" s="4" t="s">
        <v>2656</v>
      </c>
      <c r="V259" s="4" t="s">
        <v>138</v>
      </c>
      <c r="W259" s="4" t="s">
        <v>2601</v>
      </c>
      <c r="X259" s="4" t="s">
        <v>70</v>
      </c>
      <c r="Y259" s="4"/>
    </row>
    <row r="260" spans="1:25" ht="54.7">
      <c r="A260" s="4" t="s">
        <v>2657</v>
      </c>
      <c r="B260" s="4" t="s">
        <v>2587</v>
      </c>
      <c r="C260" s="4" t="s">
        <v>2588</v>
      </c>
      <c r="D260" s="4" t="s">
        <v>2658</v>
      </c>
      <c r="E260" s="4" t="s">
        <v>73</v>
      </c>
      <c r="F260" s="4" t="s">
        <v>74</v>
      </c>
      <c r="G260" s="4" t="s">
        <v>54</v>
      </c>
      <c r="H260" s="4" t="s">
        <v>2659</v>
      </c>
      <c r="I260" s="4" t="s">
        <v>2660</v>
      </c>
      <c r="J260" s="4" t="s">
        <v>2661</v>
      </c>
      <c r="K260" s="4" t="s">
        <v>2662</v>
      </c>
      <c r="L260" s="4" t="s">
        <v>8</v>
      </c>
      <c r="M260" s="4" t="s">
        <v>2620</v>
      </c>
      <c r="N260" s="4" t="s">
        <v>169</v>
      </c>
      <c r="O260" s="4" t="s">
        <v>2663</v>
      </c>
      <c r="P260" s="4" t="s">
        <v>2664</v>
      </c>
      <c r="Q260" s="4" t="s">
        <v>80</v>
      </c>
      <c r="R260" s="4" t="s">
        <v>2665</v>
      </c>
      <c r="S260" s="4" t="s">
        <v>65</v>
      </c>
      <c r="T260" s="4" t="s">
        <v>2666</v>
      </c>
      <c r="U260" s="4" t="s">
        <v>2667</v>
      </c>
      <c r="V260" s="4" t="s">
        <v>214</v>
      </c>
      <c r="W260" s="4" t="s">
        <v>2601</v>
      </c>
      <c r="X260" s="4" t="s">
        <v>70</v>
      </c>
      <c r="Y260" s="4"/>
    </row>
    <row r="261" spans="1:25" ht="54.7">
      <c r="A261" s="4" t="s">
        <v>2668</v>
      </c>
      <c r="B261" s="4" t="s">
        <v>2587</v>
      </c>
      <c r="C261" s="4" t="s">
        <v>2588</v>
      </c>
      <c r="D261" s="4" t="s">
        <v>2669</v>
      </c>
      <c r="E261" s="4" t="s">
        <v>190</v>
      </c>
      <c r="F261" s="4" t="s">
        <v>191</v>
      </c>
      <c r="G261" s="4" t="s">
        <v>776</v>
      </c>
      <c r="H261" s="4" t="s">
        <v>2670</v>
      </c>
      <c r="I261" s="4" t="s">
        <v>2671</v>
      </c>
      <c r="J261" s="4" t="s">
        <v>2672</v>
      </c>
      <c r="K261" s="4" t="s">
        <v>2673</v>
      </c>
      <c r="L261" s="4" t="s">
        <v>8</v>
      </c>
      <c r="M261" s="4" t="s">
        <v>2620</v>
      </c>
      <c r="N261" s="4" t="s">
        <v>169</v>
      </c>
      <c r="O261" s="4" t="s">
        <v>2674</v>
      </c>
      <c r="P261" s="4" t="s">
        <v>2675</v>
      </c>
      <c r="Q261" s="4" t="s">
        <v>80</v>
      </c>
      <c r="R261" s="4" t="s">
        <v>2676</v>
      </c>
      <c r="S261" s="4" t="s">
        <v>65</v>
      </c>
      <c r="T261" s="4" t="s">
        <v>2677</v>
      </c>
      <c r="U261" s="4" t="s">
        <v>2678</v>
      </c>
      <c r="V261" s="4" t="s">
        <v>138</v>
      </c>
      <c r="W261" s="4" t="s">
        <v>2601</v>
      </c>
      <c r="X261" s="4" t="s">
        <v>70</v>
      </c>
      <c r="Y261" s="4"/>
    </row>
    <row r="262" spans="1:25" ht="54.7">
      <c r="A262" s="4" t="s">
        <v>2679</v>
      </c>
      <c r="B262" s="4" t="s">
        <v>2587</v>
      </c>
      <c r="C262" s="4" t="s">
        <v>2588</v>
      </c>
      <c r="D262" s="4" t="s">
        <v>2680</v>
      </c>
      <c r="E262" s="4" t="s">
        <v>52</v>
      </c>
      <c r="F262" s="4" t="s">
        <v>53</v>
      </c>
      <c r="G262" s="4" t="s">
        <v>54</v>
      </c>
      <c r="H262" s="4" t="s">
        <v>2681</v>
      </c>
      <c r="I262" s="4" t="s">
        <v>2682</v>
      </c>
      <c r="J262" s="4" t="s">
        <v>2683</v>
      </c>
      <c r="K262" s="4" t="s">
        <v>2684</v>
      </c>
      <c r="L262" s="4" t="s">
        <v>8</v>
      </c>
      <c r="M262" s="4" t="s">
        <v>2620</v>
      </c>
      <c r="N262" s="4" t="s">
        <v>169</v>
      </c>
      <c r="O262" s="4" t="s">
        <v>2685</v>
      </c>
      <c r="P262" s="4" t="s">
        <v>2686</v>
      </c>
      <c r="Q262" s="4" t="s">
        <v>2687</v>
      </c>
      <c r="R262" s="4" t="s">
        <v>2688</v>
      </c>
      <c r="S262" s="4" t="s">
        <v>127</v>
      </c>
      <c r="T262" s="4" t="s">
        <v>2689</v>
      </c>
      <c r="U262" s="4" t="s">
        <v>2690</v>
      </c>
      <c r="V262" s="4" t="s">
        <v>138</v>
      </c>
      <c r="W262" s="4" t="s">
        <v>2601</v>
      </c>
      <c r="X262" s="4" t="s">
        <v>70</v>
      </c>
      <c r="Y262" s="4"/>
    </row>
    <row r="263" spans="1:25" ht="54.7">
      <c r="A263" s="4" t="s">
        <v>2691</v>
      </c>
      <c r="B263" s="4" t="s">
        <v>2587</v>
      </c>
      <c r="C263" s="4" t="s">
        <v>2588</v>
      </c>
      <c r="D263" s="4" t="s">
        <v>2692</v>
      </c>
      <c r="E263" s="4" t="s">
        <v>787</v>
      </c>
      <c r="F263" s="4" t="s">
        <v>142</v>
      </c>
      <c r="G263" s="4" t="s">
        <v>178</v>
      </c>
      <c r="H263" s="4" t="s">
        <v>2693</v>
      </c>
      <c r="I263" s="4" t="s">
        <v>2694</v>
      </c>
      <c r="J263" s="4" t="s">
        <v>2695</v>
      </c>
      <c r="K263" s="4" t="s">
        <v>2696</v>
      </c>
      <c r="L263" s="4" t="s">
        <v>8</v>
      </c>
      <c r="M263" s="4" t="s">
        <v>2620</v>
      </c>
      <c r="N263" s="4" t="s">
        <v>169</v>
      </c>
      <c r="O263" s="4" t="s">
        <v>2697</v>
      </c>
      <c r="P263" s="4" t="s">
        <v>2698</v>
      </c>
      <c r="Q263" s="4" t="s">
        <v>1374</v>
      </c>
      <c r="R263" s="4" t="s">
        <v>2699</v>
      </c>
      <c r="S263" s="4" t="s">
        <v>65</v>
      </c>
      <c r="T263" s="4" t="s">
        <v>2700</v>
      </c>
      <c r="U263" s="4" t="s">
        <v>2701</v>
      </c>
      <c r="V263" s="4" t="s">
        <v>214</v>
      </c>
      <c r="W263" s="4" t="s">
        <v>2601</v>
      </c>
      <c r="X263" s="4" t="s">
        <v>70</v>
      </c>
      <c r="Y263" s="4"/>
    </row>
    <row r="264" spans="1:25" ht="54.7">
      <c r="A264" s="4" t="s">
        <v>2702</v>
      </c>
      <c r="B264" s="4" t="s">
        <v>2587</v>
      </c>
      <c r="C264" s="4" t="s">
        <v>2588</v>
      </c>
      <c r="D264" s="4" t="s">
        <v>2703</v>
      </c>
      <c r="E264" s="4" t="s">
        <v>2604</v>
      </c>
      <c r="F264" s="4" t="s">
        <v>2591</v>
      </c>
      <c r="G264" s="4" t="s">
        <v>128</v>
      </c>
      <c r="H264" s="4" t="s">
        <v>2704</v>
      </c>
      <c r="I264" s="4" t="s">
        <v>2705</v>
      </c>
      <c r="J264" s="4" t="s">
        <v>2706</v>
      </c>
      <c r="K264" s="4" t="s">
        <v>2707</v>
      </c>
      <c r="L264" s="4" t="s">
        <v>11</v>
      </c>
      <c r="M264" s="4" t="s">
        <v>1526</v>
      </c>
      <c r="N264" s="4" t="s">
        <v>169</v>
      </c>
      <c r="O264" s="4" t="s">
        <v>2708</v>
      </c>
      <c r="P264" s="4" t="s">
        <v>2709</v>
      </c>
      <c r="Q264" s="4" t="s">
        <v>80</v>
      </c>
      <c r="R264" s="4" t="s">
        <v>2710</v>
      </c>
      <c r="S264" s="4" t="s">
        <v>65</v>
      </c>
      <c r="T264" s="4" t="s">
        <v>2711</v>
      </c>
      <c r="U264" s="4" t="s">
        <v>1513</v>
      </c>
      <c r="V264" s="4" t="s">
        <v>97</v>
      </c>
      <c r="W264" s="4" t="s">
        <v>2601</v>
      </c>
      <c r="X264" s="4" t="s">
        <v>70</v>
      </c>
      <c r="Y264" s="4"/>
    </row>
    <row r="265" spans="1:25" ht="54.7">
      <c r="A265" s="4" t="s">
        <v>2712</v>
      </c>
      <c r="B265" s="4" t="s">
        <v>2587</v>
      </c>
      <c r="C265" s="4" t="s">
        <v>2588</v>
      </c>
      <c r="D265" s="4" t="s">
        <v>2713</v>
      </c>
      <c r="E265" s="4" t="s">
        <v>73</v>
      </c>
      <c r="F265" s="4" t="s">
        <v>74</v>
      </c>
      <c r="G265" s="4" t="s">
        <v>54</v>
      </c>
      <c r="H265" s="4" t="s">
        <v>2714</v>
      </c>
      <c r="I265" s="4" t="s">
        <v>2715</v>
      </c>
      <c r="J265" s="4" t="s">
        <v>2716</v>
      </c>
      <c r="K265" s="4" t="s">
        <v>2717</v>
      </c>
      <c r="L265" s="4" t="s">
        <v>14</v>
      </c>
      <c r="M265" s="4" t="s">
        <v>1526</v>
      </c>
      <c r="N265" s="4" t="s">
        <v>169</v>
      </c>
      <c r="O265" s="4" t="s">
        <v>2718</v>
      </c>
      <c r="P265" s="4" t="s">
        <v>2719</v>
      </c>
      <c r="Q265" s="4" t="s">
        <v>80</v>
      </c>
      <c r="R265" s="4" t="s">
        <v>2720</v>
      </c>
      <c r="S265" s="4" t="s">
        <v>65</v>
      </c>
      <c r="T265" s="4" t="s">
        <v>2721</v>
      </c>
      <c r="U265" s="4" t="s">
        <v>2722</v>
      </c>
      <c r="V265" s="4" t="s">
        <v>97</v>
      </c>
      <c r="W265" s="4" t="s">
        <v>2601</v>
      </c>
      <c r="X265" s="4" t="s">
        <v>70</v>
      </c>
      <c r="Y265" s="4"/>
    </row>
    <row r="266" spans="1:25" ht="54.7">
      <c r="A266" s="4" t="s">
        <v>2723</v>
      </c>
      <c r="B266" s="4" t="s">
        <v>2587</v>
      </c>
      <c r="C266" s="4" t="s">
        <v>2588</v>
      </c>
      <c r="D266" s="4" t="s">
        <v>2724</v>
      </c>
      <c r="E266" s="4" t="s">
        <v>141</v>
      </c>
      <c r="F266" s="4" t="s">
        <v>142</v>
      </c>
      <c r="G266" s="4" t="s">
        <v>178</v>
      </c>
      <c r="H266" s="4" t="s">
        <v>2725</v>
      </c>
      <c r="I266" s="4" t="s">
        <v>2726</v>
      </c>
      <c r="J266" s="4" t="s">
        <v>2727</v>
      </c>
      <c r="K266" s="4" t="s">
        <v>2728</v>
      </c>
      <c r="L266" s="4" t="s">
        <v>8</v>
      </c>
      <c r="M266" s="4" t="s">
        <v>2620</v>
      </c>
      <c r="N266" s="4" t="s">
        <v>169</v>
      </c>
      <c r="O266" s="4" t="s">
        <v>2729</v>
      </c>
      <c r="P266" s="4" t="s">
        <v>2730</v>
      </c>
      <c r="Q266" s="4" t="s">
        <v>80</v>
      </c>
      <c r="R266" s="4" t="s">
        <v>2731</v>
      </c>
      <c r="S266" s="4" t="s">
        <v>65</v>
      </c>
      <c r="T266" s="4" t="s">
        <v>2732</v>
      </c>
      <c r="U266" s="4" t="s">
        <v>950</v>
      </c>
      <c r="V266" s="4" t="s">
        <v>97</v>
      </c>
      <c r="W266" s="4" t="s">
        <v>142</v>
      </c>
      <c r="X266" s="4" t="s">
        <v>70</v>
      </c>
      <c r="Y266" s="4"/>
    </row>
    <row r="267" spans="1:25" ht="54.7">
      <c r="A267" s="4" t="s">
        <v>2733</v>
      </c>
      <c r="B267" s="4" t="s">
        <v>2587</v>
      </c>
      <c r="C267" s="4" t="s">
        <v>2588</v>
      </c>
      <c r="D267" s="4" t="s">
        <v>2734</v>
      </c>
      <c r="E267" s="4" t="s">
        <v>2590</v>
      </c>
      <c r="F267" s="4" t="s">
        <v>2591</v>
      </c>
      <c r="G267" s="4" t="s">
        <v>128</v>
      </c>
      <c r="H267" s="4" t="s">
        <v>2735</v>
      </c>
      <c r="I267" s="4" t="s">
        <v>2736</v>
      </c>
      <c r="J267" s="4" t="s">
        <v>2737</v>
      </c>
      <c r="K267" s="4" t="s">
        <v>2738</v>
      </c>
      <c r="L267" s="4" t="s">
        <v>8</v>
      </c>
      <c r="M267" s="4" t="s">
        <v>2620</v>
      </c>
      <c r="N267" s="4" t="s">
        <v>169</v>
      </c>
      <c r="O267" s="4" t="s">
        <v>2697</v>
      </c>
      <c r="P267" s="4" t="s">
        <v>2730</v>
      </c>
      <c r="Q267" s="4" t="s">
        <v>80</v>
      </c>
      <c r="R267" s="4" t="s">
        <v>2739</v>
      </c>
      <c r="S267" s="4" t="s">
        <v>65</v>
      </c>
      <c r="T267" s="4" t="s">
        <v>2740</v>
      </c>
      <c r="U267" s="4" t="s">
        <v>2741</v>
      </c>
      <c r="V267" s="4" t="s">
        <v>97</v>
      </c>
      <c r="W267" s="4" t="s">
        <v>142</v>
      </c>
      <c r="X267" s="4" t="s">
        <v>70</v>
      </c>
      <c r="Y267" s="4"/>
    </row>
    <row r="268" spans="1:25" ht="68.349999999999994">
      <c r="A268" s="4" t="s">
        <v>2742</v>
      </c>
      <c r="B268" s="4" t="s">
        <v>2587</v>
      </c>
      <c r="C268" s="4" t="s">
        <v>2588</v>
      </c>
      <c r="D268" s="4" t="s">
        <v>2743</v>
      </c>
      <c r="E268" s="4" t="s">
        <v>1203</v>
      </c>
      <c r="F268" s="4" t="s">
        <v>127</v>
      </c>
      <c r="G268" s="4" t="s">
        <v>128</v>
      </c>
      <c r="H268" s="4" t="s">
        <v>2744</v>
      </c>
      <c r="I268" s="4" t="s">
        <v>2745</v>
      </c>
      <c r="J268" s="4" t="s">
        <v>2746</v>
      </c>
      <c r="K268" s="4" t="s">
        <v>2747</v>
      </c>
      <c r="L268" s="4" t="s">
        <v>8</v>
      </c>
      <c r="M268" s="4" t="s">
        <v>2620</v>
      </c>
      <c r="N268" s="4" t="s">
        <v>169</v>
      </c>
      <c r="O268" s="4" t="s">
        <v>2748</v>
      </c>
      <c r="P268" s="4" t="s">
        <v>2749</v>
      </c>
      <c r="Q268" s="4" t="s">
        <v>80</v>
      </c>
      <c r="R268" s="4" t="s">
        <v>2750</v>
      </c>
      <c r="S268" s="4" t="s">
        <v>127</v>
      </c>
      <c r="T268" s="4" t="s">
        <v>2689</v>
      </c>
      <c r="U268" s="4" t="s">
        <v>2741</v>
      </c>
      <c r="V268" s="4" t="s">
        <v>138</v>
      </c>
      <c r="W268" s="4" t="s">
        <v>2601</v>
      </c>
      <c r="X268" s="4" t="s">
        <v>70</v>
      </c>
      <c r="Y268" s="4"/>
    </row>
    <row r="269" spans="1:25" ht="68.349999999999994">
      <c r="A269" s="4" t="s">
        <v>2751</v>
      </c>
      <c r="B269" s="4" t="s">
        <v>2587</v>
      </c>
      <c r="C269" s="4" t="s">
        <v>2588</v>
      </c>
      <c r="D269" s="4" t="s">
        <v>2752</v>
      </c>
      <c r="E269" s="4" t="s">
        <v>556</v>
      </c>
      <c r="F269" s="4" t="s">
        <v>2591</v>
      </c>
      <c r="G269" s="4" t="s">
        <v>1903</v>
      </c>
      <c r="H269" s="4" t="s">
        <v>2753</v>
      </c>
      <c r="I269" s="4" t="s">
        <v>2754</v>
      </c>
      <c r="J269" s="4" t="s">
        <v>2755</v>
      </c>
      <c r="K269" s="4" t="s">
        <v>2756</v>
      </c>
      <c r="L269" s="4" t="s">
        <v>11</v>
      </c>
      <c r="M269" s="4" t="s">
        <v>1526</v>
      </c>
      <c r="N269" s="4" t="s">
        <v>169</v>
      </c>
      <c r="O269" s="4" t="s">
        <v>2757</v>
      </c>
      <c r="P269" s="4" t="s">
        <v>1903</v>
      </c>
      <c r="Q269" s="4" t="s">
        <v>2758</v>
      </c>
      <c r="R269" s="4" t="s">
        <v>2759</v>
      </c>
      <c r="S269" s="4" t="s">
        <v>127</v>
      </c>
      <c r="T269" s="4" t="s">
        <v>2760</v>
      </c>
      <c r="U269" s="4" t="s">
        <v>2761</v>
      </c>
      <c r="V269" s="4" t="s">
        <v>97</v>
      </c>
      <c r="W269" s="4" t="s">
        <v>2601</v>
      </c>
      <c r="X269" s="4" t="s">
        <v>70</v>
      </c>
      <c r="Y269" s="4"/>
    </row>
    <row r="270" spans="1:25" ht="54.7">
      <c r="A270" s="4" t="s">
        <v>2762</v>
      </c>
      <c r="B270" s="4" t="s">
        <v>2587</v>
      </c>
      <c r="C270" s="4" t="s">
        <v>2588</v>
      </c>
      <c r="D270" s="4" t="s">
        <v>2763</v>
      </c>
      <c r="E270" s="4" t="s">
        <v>126</v>
      </c>
      <c r="F270" s="4" t="s">
        <v>127</v>
      </c>
      <c r="G270" s="4" t="s">
        <v>178</v>
      </c>
      <c r="H270" s="4" t="s">
        <v>2764</v>
      </c>
      <c r="I270" s="4" t="s">
        <v>2765</v>
      </c>
      <c r="J270" s="4" t="s">
        <v>2766</v>
      </c>
      <c r="K270" s="4" t="s">
        <v>2767</v>
      </c>
      <c r="L270" s="4" t="s">
        <v>14</v>
      </c>
      <c r="M270" s="4" t="s">
        <v>1526</v>
      </c>
      <c r="N270" s="4" t="s">
        <v>169</v>
      </c>
      <c r="O270" s="4" t="s">
        <v>2697</v>
      </c>
      <c r="P270" s="4" t="s">
        <v>2698</v>
      </c>
      <c r="Q270" s="4" t="s">
        <v>2768</v>
      </c>
      <c r="R270" s="4" t="s">
        <v>2769</v>
      </c>
      <c r="S270" s="4" t="s">
        <v>65</v>
      </c>
      <c r="T270" s="4" t="s">
        <v>2770</v>
      </c>
      <c r="U270" s="4" t="s">
        <v>2771</v>
      </c>
      <c r="V270" s="4" t="s">
        <v>97</v>
      </c>
      <c r="W270" s="4" t="s">
        <v>2601</v>
      </c>
      <c r="X270" s="4" t="s">
        <v>70</v>
      </c>
      <c r="Y270" s="4"/>
    </row>
    <row r="271" spans="1:25" ht="54.7">
      <c r="A271" s="4" t="s">
        <v>2772</v>
      </c>
      <c r="B271" s="4" t="s">
        <v>2773</v>
      </c>
      <c r="C271" s="4" t="s">
        <v>2774</v>
      </c>
      <c r="D271" s="4" t="s">
        <v>2775</v>
      </c>
      <c r="E271" s="4" t="s">
        <v>190</v>
      </c>
      <c r="F271" s="4" t="s">
        <v>191</v>
      </c>
      <c r="G271" s="4" t="s">
        <v>178</v>
      </c>
      <c r="H271" s="4" t="s">
        <v>2776</v>
      </c>
      <c r="I271" s="4" t="s">
        <v>2777</v>
      </c>
      <c r="J271" s="4" t="s">
        <v>2778</v>
      </c>
      <c r="K271" s="4" t="s">
        <v>2779</v>
      </c>
      <c r="L271" s="4" t="s">
        <v>14</v>
      </c>
      <c r="M271" s="4" t="s">
        <v>168</v>
      </c>
      <c r="N271" s="4" t="s">
        <v>169</v>
      </c>
      <c r="O271" s="4" t="s">
        <v>2780</v>
      </c>
      <c r="P271" s="4" t="s">
        <v>2781</v>
      </c>
      <c r="Q271" s="4" t="s">
        <v>2782</v>
      </c>
      <c r="R271" s="4" t="s">
        <v>2783</v>
      </c>
      <c r="S271" s="4" t="s">
        <v>65</v>
      </c>
      <c r="T271" s="4" t="s">
        <v>313</v>
      </c>
      <c r="U271" s="4" t="s">
        <v>2784</v>
      </c>
      <c r="V271" s="4" t="s">
        <v>214</v>
      </c>
      <c r="W271" s="4" t="s">
        <v>69</v>
      </c>
      <c r="X271" s="4" t="s">
        <v>70</v>
      </c>
      <c r="Y271" s="4"/>
    </row>
    <row r="272" spans="1:25" ht="54.7">
      <c r="A272" s="4" t="s">
        <v>2785</v>
      </c>
      <c r="B272" s="4" t="s">
        <v>2773</v>
      </c>
      <c r="C272" s="4" t="s">
        <v>2774</v>
      </c>
      <c r="D272" s="4" t="s">
        <v>2786</v>
      </c>
      <c r="E272" s="4" t="s">
        <v>190</v>
      </c>
      <c r="F272" s="4" t="s">
        <v>191</v>
      </c>
      <c r="G272" s="4" t="s">
        <v>178</v>
      </c>
      <c r="H272" s="4" t="s">
        <v>2787</v>
      </c>
      <c r="I272" s="4" t="s">
        <v>2788</v>
      </c>
      <c r="J272" s="4" t="s">
        <v>2789</v>
      </c>
      <c r="K272" s="4" t="s">
        <v>2790</v>
      </c>
      <c r="L272" s="4" t="s">
        <v>14</v>
      </c>
      <c r="M272" s="4" t="s">
        <v>168</v>
      </c>
      <c r="N272" s="4" t="s">
        <v>169</v>
      </c>
      <c r="O272" s="4" t="s">
        <v>2791</v>
      </c>
      <c r="P272" s="4" t="s">
        <v>620</v>
      </c>
      <c r="Q272" s="4" t="s">
        <v>80</v>
      </c>
      <c r="R272" s="4" t="s">
        <v>2792</v>
      </c>
      <c r="S272" s="4" t="s">
        <v>65</v>
      </c>
      <c r="T272" s="4" t="s">
        <v>199</v>
      </c>
      <c r="U272" s="4" t="s">
        <v>2793</v>
      </c>
      <c r="V272" s="4" t="s">
        <v>214</v>
      </c>
      <c r="W272" s="4" t="s">
        <v>69</v>
      </c>
      <c r="X272" s="4" t="s">
        <v>70</v>
      </c>
      <c r="Y272" s="4"/>
    </row>
    <row r="273" spans="1:25" ht="54.7">
      <c r="A273" s="4" t="s">
        <v>2794</v>
      </c>
      <c r="B273" s="4" t="s">
        <v>2773</v>
      </c>
      <c r="C273" s="4" t="s">
        <v>2774</v>
      </c>
      <c r="D273" s="4" t="s">
        <v>2795</v>
      </c>
      <c r="E273" s="4" t="s">
        <v>2780</v>
      </c>
      <c r="F273" s="4" t="s">
        <v>2796</v>
      </c>
      <c r="G273" s="4" t="s">
        <v>776</v>
      </c>
      <c r="H273" s="4" t="s">
        <v>2797</v>
      </c>
      <c r="I273" s="4" t="s">
        <v>2798</v>
      </c>
      <c r="J273" s="4" t="s">
        <v>2799</v>
      </c>
      <c r="K273" s="4" t="s">
        <v>2800</v>
      </c>
      <c r="L273" s="4" t="s">
        <v>14</v>
      </c>
      <c r="M273" s="4" t="s">
        <v>168</v>
      </c>
      <c r="N273" s="4" t="s">
        <v>169</v>
      </c>
      <c r="O273" s="4" t="s">
        <v>2801</v>
      </c>
      <c r="P273" s="4" t="s">
        <v>2802</v>
      </c>
      <c r="Q273" s="4" t="s">
        <v>80</v>
      </c>
      <c r="R273" s="4" t="s">
        <v>2803</v>
      </c>
      <c r="S273" s="4" t="s">
        <v>65</v>
      </c>
      <c r="T273" s="4" t="s">
        <v>833</v>
      </c>
      <c r="U273" s="4" t="s">
        <v>2804</v>
      </c>
      <c r="V273" s="4" t="s">
        <v>138</v>
      </c>
      <c r="W273" s="4" t="s">
        <v>69</v>
      </c>
      <c r="X273" s="4" t="s">
        <v>70</v>
      </c>
      <c r="Y273" s="4"/>
    </row>
    <row r="274" spans="1:25" ht="54.7">
      <c r="A274" s="4" t="s">
        <v>2805</v>
      </c>
      <c r="B274" s="4" t="s">
        <v>2773</v>
      </c>
      <c r="C274" s="4" t="s">
        <v>2774</v>
      </c>
      <c r="D274" s="4" t="s">
        <v>2806</v>
      </c>
      <c r="E274" s="4" t="s">
        <v>2780</v>
      </c>
      <c r="F274" s="4" t="s">
        <v>2796</v>
      </c>
      <c r="G274" s="4" t="s">
        <v>776</v>
      </c>
      <c r="H274" s="4" t="s">
        <v>2807</v>
      </c>
      <c r="I274" s="4" t="s">
        <v>2808</v>
      </c>
      <c r="J274" s="4" t="s">
        <v>2809</v>
      </c>
      <c r="K274" s="4" t="s">
        <v>2810</v>
      </c>
      <c r="L274" s="4" t="s">
        <v>14</v>
      </c>
      <c r="M274" s="4" t="s">
        <v>1710</v>
      </c>
      <c r="N274" s="4" t="s">
        <v>169</v>
      </c>
      <c r="O274" s="4" t="s">
        <v>2811</v>
      </c>
      <c r="P274" s="4" t="s">
        <v>2812</v>
      </c>
      <c r="Q274" s="4" t="s">
        <v>80</v>
      </c>
      <c r="R274" s="4" t="s">
        <v>2813</v>
      </c>
      <c r="S274" s="4" t="s">
        <v>65</v>
      </c>
      <c r="T274" s="4" t="s">
        <v>2814</v>
      </c>
      <c r="U274" s="4" t="s">
        <v>2815</v>
      </c>
      <c r="V274" s="4" t="s">
        <v>97</v>
      </c>
      <c r="W274" s="4" t="s">
        <v>69</v>
      </c>
      <c r="X274" s="4" t="s">
        <v>70</v>
      </c>
      <c r="Y274" s="4"/>
    </row>
    <row r="275" spans="1:25" ht="54.7">
      <c r="A275" s="4" t="s">
        <v>2816</v>
      </c>
      <c r="B275" s="4" t="s">
        <v>2773</v>
      </c>
      <c r="C275" s="4" t="s">
        <v>2774</v>
      </c>
      <c r="D275" s="4" t="s">
        <v>2817</v>
      </c>
      <c r="E275" s="4" t="s">
        <v>2475</v>
      </c>
      <c r="F275" s="4" t="s">
        <v>127</v>
      </c>
      <c r="G275" s="4" t="s">
        <v>128</v>
      </c>
      <c r="H275" s="4" t="s">
        <v>2818</v>
      </c>
      <c r="I275" s="4" t="s">
        <v>2819</v>
      </c>
      <c r="J275" s="4" t="s">
        <v>2820</v>
      </c>
      <c r="K275" s="4" t="s">
        <v>2821</v>
      </c>
      <c r="L275" s="4" t="s">
        <v>8</v>
      </c>
      <c r="M275" s="4" t="s">
        <v>2822</v>
      </c>
      <c r="N275" s="4" t="s">
        <v>169</v>
      </c>
      <c r="O275" s="4" t="s">
        <v>2823</v>
      </c>
      <c r="P275" s="4" t="s">
        <v>2824</v>
      </c>
      <c r="Q275" s="4" t="s">
        <v>80</v>
      </c>
      <c r="R275" s="4" t="s">
        <v>2825</v>
      </c>
      <c r="S275" s="4" t="s">
        <v>65</v>
      </c>
      <c r="T275" s="4" t="s">
        <v>2826</v>
      </c>
      <c r="U275" s="4" t="s">
        <v>2827</v>
      </c>
      <c r="V275" s="4" t="s">
        <v>97</v>
      </c>
      <c r="W275" s="4" t="s">
        <v>98</v>
      </c>
      <c r="X275" s="4" t="s">
        <v>70</v>
      </c>
      <c r="Y275" s="4"/>
    </row>
    <row r="276" spans="1:25" ht="41">
      <c r="A276" s="4" t="s">
        <v>2828</v>
      </c>
      <c r="B276" s="4" t="s">
        <v>2773</v>
      </c>
      <c r="C276" s="4" t="s">
        <v>2774</v>
      </c>
      <c r="D276" s="4" t="s">
        <v>2829</v>
      </c>
      <c r="E276" s="4" t="s">
        <v>190</v>
      </c>
      <c r="F276" s="4" t="s">
        <v>191</v>
      </c>
      <c r="G276" s="4" t="s">
        <v>178</v>
      </c>
      <c r="H276" s="4" t="s">
        <v>2830</v>
      </c>
      <c r="I276" s="4" t="s">
        <v>2831</v>
      </c>
      <c r="J276" s="4" t="s">
        <v>2832</v>
      </c>
      <c r="K276" s="4" t="s">
        <v>2833</v>
      </c>
      <c r="L276" s="4" t="s">
        <v>8</v>
      </c>
      <c r="M276" s="4" t="s">
        <v>2822</v>
      </c>
      <c r="N276" s="4" t="s">
        <v>169</v>
      </c>
      <c r="O276" s="4" t="s">
        <v>2823</v>
      </c>
      <c r="P276" s="4" t="s">
        <v>2834</v>
      </c>
      <c r="Q276" s="4" t="s">
        <v>80</v>
      </c>
      <c r="R276" s="4" t="s">
        <v>2835</v>
      </c>
      <c r="S276" s="4" t="s">
        <v>65</v>
      </c>
      <c r="T276" s="4" t="s">
        <v>158</v>
      </c>
      <c r="U276" s="4" t="s">
        <v>2804</v>
      </c>
      <c r="V276" s="4" t="s">
        <v>97</v>
      </c>
      <c r="W276" s="4" t="s">
        <v>98</v>
      </c>
      <c r="X276" s="4" t="s">
        <v>70</v>
      </c>
      <c r="Y276" s="4"/>
    </row>
    <row r="277" spans="1:25" ht="54.7">
      <c r="A277" s="4" t="s">
        <v>2836</v>
      </c>
      <c r="B277" s="4" t="s">
        <v>2773</v>
      </c>
      <c r="C277" s="4" t="s">
        <v>2774</v>
      </c>
      <c r="D277" s="4" t="s">
        <v>2837</v>
      </c>
      <c r="E277" s="4" t="s">
        <v>2780</v>
      </c>
      <c r="F277" s="4" t="s">
        <v>2796</v>
      </c>
      <c r="G277" s="4" t="s">
        <v>776</v>
      </c>
      <c r="H277" s="4" t="s">
        <v>2838</v>
      </c>
      <c r="I277" s="4" t="s">
        <v>2839</v>
      </c>
      <c r="J277" s="4" t="s">
        <v>2840</v>
      </c>
      <c r="K277" s="4" t="s">
        <v>2841</v>
      </c>
      <c r="L277" s="4" t="s">
        <v>14</v>
      </c>
      <c r="M277" s="4" t="s">
        <v>1710</v>
      </c>
      <c r="N277" s="4" t="s">
        <v>169</v>
      </c>
      <c r="O277" s="4" t="s">
        <v>2842</v>
      </c>
      <c r="P277" s="4" t="s">
        <v>550</v>
      </c>
      <c r="Q277" s="4" t="s">
        <v>80</v>
      </c>
      <c r="R277" s="4" t="s">
        <v>2843</v>
      </c>
      <c r="S277" s="4" t="s">
        <v>65</v>
      </c>
      <c r="T277" s="4" t="s">
        <v>552</v>
      </c>
      <c r="U277" s="4" t="s">
        <v>2815</v>
      </c>
      <c r="V277" s="4" t="s">
        <v>97</v>
      </c>
      <c r="W277" s="4" t="s">
        <v>174</v>
      </c>
      <c r="X277" s="4" t="s">
        <v>70</v>
      </c>
      <c r="Y277" s="4"/>
    </row>
    <row r="278" spans="1:25" ht="54.7">
      <c r="A278" s="4" t="s">
        <v>2844</v>
      </c>
      <c r="B278" s="4" t="s">
        <v>2773</v>
      </c>
      <c r="C278" s="4" t="s">
        <v>2774</v>
      </c>
      <c r="D278" s="4" t="s">
        <v>2845</v>
      </c>
      <c r="E278" s="4" t="s">
        <v>1703</v>
      </c>
      <c r="F278" s="4" t="s">
        <v>1704</v>
      </c>
      <c r="G278" s="4" t="s">
        <v>776</v>
      </c>
      <c r="H278" s="4" t="s">
        <v>2846</v>
      </c>
      <c r="I278" s="4" t="s">
        <v>2847</v>
      </c>
      <c r="J278" s="4" t="s">
        <v>2848</v>
      </c>
      <c r="K278" s="4" t="s">
        <v>2849</v>
      </c>
      <c r="L278" s="4" t="s">
        <v>17</v>
      </c>
      <c r="M278" s="4" t="s">
        <v>1710</v>
      </c>
      <c r="N278" s="4" t="s">
        <v>1710</v>
      </c>
      <c r="O278" s="4" t="s">
        <v>2850</v>
      </c>
      <c r="P278" s="4" t="s">
        <v>2851</v>
      </c>
      <c r="Q278" s="4" t="s">
        <v>2102</v>
      </c>
      <c r="R278" s="4" t="s">
        <v>2852</v>
      </c>
      <c r="S278" s="4" t="s">
        <v>2104</v>
      </c>
      <c r="T278" s="4" t="s">
        <v>675</v>
      </c>
      <c r="U278" s="4" t="s">
        <v>2853</v>
      </c>
      <c r="V278" s="4" t="s">
        <v>138</v>
      </c>
      <c r="W278" s="4" t="s">
        <v>142</v>
      </c>
      <c r="X278" s="4" t="s">
        <v>70</v>
      </c>
      <c r="Y278" s="4"/>
    </row>
    <row r="279" spans="1:25" ht="54.7">
      <c r="A279" s="4" t="s">
        <v>2854</v>
      </c>
      <c r="B279" s="4" t="s">
        <v>2855</v>
      </c>
      <c r="C279" s="4" t="s">
        <v>2856</v>
      </c>
      <c r="D279" s="4" t="s">
        <v>2857</v>
      </c>
      <c r="E279" s="4" t="s">
        <v>177</v>
      </c>
      <c r="F279" s="4" t="s">
        <v>163</v>
      </c>
      <c r="G279" s="4" t="s">
        <v>178</v>
      </c>
      <c r="H279" s="4" t="s">
        <v>2858</v>
      </c>
      <c r="I279" s="4" t="s">
        <v>2859</v>
      </c>
      <c r="J279" s="4" t="s">
        <v>2860</v>
      </c>
      <c r="K279" s="4" t="s">
        <v>2861</v>
      </c>
      <c r="L279" s="4" t="s">
        <v>14</v>
      </c>
      <c r="M279" s="4" t="s">
        <v>1710</v>
      </c>
      <c r="N279" s="4" t="s">
        <v>1710</v>
      </c>
      <c r="O279" s="4" t="s">
        <v>2862</v>
      </c>
      <c r="P279" s="4" t="s">
        <v>444</v>
      </c>
      <c r="Q279" s="4" t="s">
        <v>445</v>
      </c>
      <c r="R279" s="4" t="s">
        <v>323</v>
      </c>
      <c r="S279" s="4" t="s">
        <v>65</v>
      </c>
      <c r="T279" s="4" t="s">
        <v>466</v>
      </c>
      <c r="U279" s="4" t="s">
        <v>322</v>
      </c>
      <c r="V279" s="4" t="s">
        <v>138</v>
      </c>
      <c r="W279" s="4" t="s">
        <v>69</v>
      </c>
      <c r="X279" s="4" t="s">
        <v>70</v>
      </c>
      <c r="Y279" s="4"/>
    </row>
    <row r="280" spans="1:25" ht="41">
      <c r="A280" s="4" t="s">
        <v>2863</v>
      </c>
      <c r="B280" s="4" t="s">
        <v>2855</v>
      </c>
      <c r="C280" s="4" t="s">
        <v>2856</v>
      </c>
      <c r="D280" s="4" t="s">
        <v>2864</v>
      </c>
      <c r="E280" s="4" t="s">
        <v>73</v>
      </c>
      <c r="F280" s="4" t="s">
        <v>74</v>
      </c>
      <c r="G280" s="4" t="s">
        <v>776</v>
      </c>
      <c r="H280" s="4" t="s">
        <v>2865</v>
      </c>
      <c r="I280" s="4" t="s">
        <v>2866</v>
      </c>
      <c r="J280" s="4" t="s">
        <v>2867</v>
      </c>
      <c r="K280" s="4" t="s">
        <v>2868</v>
      </c>
      <c r="L280" s="4" t="s">
        <v>14</v>
      </c>
      <c r="M280" s="4" t="s">
        <v>1710</v>
      </c>
      <c r="N280" s="4" t="s">
        <v>1710</v>
      </c>
      <c r="O280" s="4" t="s">
        <v>2869</v>
      </c>
      <c r="P280" s="4" t="s">
        <v>685</v>
      </c>
      <c r="Q280" s="4" t="s">
        <v>445</v>
      </c>
      <c r="R280" s="4" t="s">
        <v>1013</v>
      </c>
      <c r="S280" s="4" t="s">
        <v>65</v>
      </c>
      <c r="T280" s="4" t="s">
        <v>2870</v>
      </c>
      <c r="U280" s="4" t="s">
        <v>2857</v>
      </c>
      <c r="V280" s="4" t="s">
        <v>138</v>
      </c>
      <c r="W280" s="4" t="s">
        <v>69</v>
      </c>
      <c r="X280" s="4" t="s">
        <v>70</v>
      </c>
      <c r="Y280" s="4"/>
    </row>
    <row r="281" spans="1:25" ht="41">
      <c r="A281" s="4" t="s">
        <v>2871</v>
      </c>
      <c r="B281" s="4" t="s">
        <v>2855</v>
      </c>
      <c r="C281" s="4" t="s">
        <v>2856</v>
      </c>
      <c r="D281" s="4" t="s">
        <v>2872</v>
      </c>
      <c r="E281" s="4" t="s">
        <v>73</v>
      </c>
      <c r="F281" s="4" t="s">
        <v>74</v>
      </c>
      <c r="G281" s="4" t="s">
        <v>776</v>
      </c>
      <c r="H281" s="4" t="s">
        <v>2873</v>
      </c>
      <c r="I281" s="4" t="s">
        <v>2874</v>
      </c>
      <c r="J281" s="4" t="s">
        <v>2875</v>
      </c>
      <c r="K281" s="4" t="s">
        <v>2876</v>
      </c>
      <c r="L281" s="4" t="s">
        <v>17</v>
      </c>
      <c r="M281" s="4" t="s">
        <v>1710</v>
      </c>
      <c r="N281" s="4" t="s">
        <v>1710</v>
      </c>
      <c r="O281" s="4" t="s">
        <v>2877</v>
      </c>
      <c r="P281" s="4" t="s">
        <v>2878</v>
      </c>
      <c r="Q281" s="4" t="s">
        <v>2879</v>
      </c>
      <c r="R281" s="4" t="s">
        <v>2880</v>
      </c>
      <c r="S281" s="4" t="s">
        <v>65</v>
      </c>
      <c r="T281" s="4" t="s">
        <v>1424</v>
      </c>
      <c r="U281" s="4" t="s">
        <v>1086</v>
      </c>
      <c r="V281" s="4" t="s">
        <v>655</v>
      </c>
      <c r="W281" s="4" t="s">
        <v>69</v>
      </c>
      <c r="X281" s="4" t="s">
        <v>70</v>
      </c>
      <c r="Y281" s="4"/>
    </row>
    <row r="282" spans="1:25" ht="54.7">
      <c r="A282" s="4" t="s">
        <v>2881</v>
      </c>
      <c r="B282" s="4" t="s">
        <v>2855</v>
      </c>
      <c r="C282" s="4" t="s">
        <v>2856</v>
      </c>
      <c r="D282" s="4" t="s">
        <v>2882</v>
      </c>
      <c r="E282" s="4" t="s">
        <v>73</v>
      </c>
      <c r="F282" s="4" t="s">
        <v>74</v>
      </c>
      <c r="G282" s="4" t="s">
        <v>54</v>
      </c>
      <c r="H282" s="4" t="s">
        <v>2883</v>
      </c>
      <c r="I282" s="4" t="s">
        <v>2884</v>
      </c>
      <c r="J282" s="4" t="s">
        <v>2885</v>
      </c>
      <c r="K282" s="4" t="s">
        <v>2886</v>
      </c>
      <c r="L282" s="4" t="s">
        <v>17</v>
      </c>
      <c r="M282" s="4" t="s">
        <v>1710</v>
      </c>
      <c r="N282" s="4" t="s">
        <v>1710</v>
      </c>
      <c r="O282" s="4" t="s">
        <v>2887</v>
      </c>
      <c r="P282" s="4" t="s">
        <v>2888</v>
      </c>
      <c r="Q282" s="4" t="s">
        <v>445</v>
      </c>
      <c r="R282" s="4" t="s">
        <v>1013</v>
      </c>
      <c r="S282" s="4" t="s">
        <v>65</v>
      </c>
      <c r="T282" s="4" t="s">
        <v>2889</v>
      </c>
      <c r="U282" s="4" t="s">
        <v>2872</v>
      </c>
      <c r="V282" s="4" t="s">
        <v>214</v>
      </c>
      <c r="W282" s="4" t="s">
        <v>69</v>
      </c>
      <c r="X282" s="4" t="s">
        <v>70</v>
      </c>
      <c r="Y282" s="4"/>
    </row>
    <row r="283" spans="1:25" ht="54.7">
      <c r="A283" s="4" t="s">
        <v>2890</v>
      </c>
      <c r="B283" s="4" t="s">
        <v>2855</v>
      </c>
      <c r="C283" s="4" t="s">
        <v>2856</v>
      </c>
      <c r="D283" s="4" t="s">
        <v>2891</v>
      </c>
      <c r="E283" s="4" t="s">
        <v>101</v>
      </c>
      <c r="F283" s="4" t="s">
        <v>101</v>
      </c>
      <c r="G283" s="4" t="s">
        <v>102</v>
      </c>
      <c r="H283" s="4" t="s">
        <v>2892</v>
      </c>
      <c r="I283" s="4" t="s">
        <v>2893</v>
      </c>
      <c r="J283" s="4" t="s">
        <v>2894</v>
      </c>
      <c r="K283" s="4" t="s">
        <v>2895</v>
      </c>
      <c r="L283" s="4" t="s">
        <v>17</v>
      </c>
      <c r="M283" s="4" t="s">
        <v>1710</v>
      </c>
      <c r="N283" s="4" t="s">
        <v>1710</v>
      </c>
      <c r="O283" s="4" t="s">
        <v>2896</v>
      </c>
      <c r="P283" s="4" t="s">
        <v>2897</v>
      </c>
      <c r="Q283" s="4" t="s">
        <v>445</v>
      </c>
      <c r="R283" s="4" t="s">
        <v>2898</v>
      </c>
      <c r="S283" s="4" t="s">
        <v>65</v>
      </c>
      <c r="T283" s="4" t="s">
        <v>2899</v>
      </c>
      <c r="U283" s="4" t="s">
        <v>2900</v>
      </c>
      <c r="V283" s="4" t="s">
        <v>655</v>
      </c>
      <c r="W283" s="4" t="s">
        <v>69</v>
      </c>
      <c r="X283" s="4" t="s">
        <v>70</v>
      </c>
      <c r="Y283" s="4"/>
    </row>
    <row r="284" spans="1:25" ht="54.7">
      <c r="A284" s="4" t="s">
        <v>2901</v>
      </c>
      <c r="B284" s="4" t="s">
        <v>2855</v>
      </c>
      <c r="C284" s="4" t="s">
        <v>2856</v>
      </c>
      <c r="D284" s="4" t="s">
        <v>2902</v>
      </c>
      <c r="E284" s="4" t="s">
        <v>52</v>
      </c>
      <c r="F284" s="4" t="s">
        <v>53</v>
      </c>
      <c r="G284" s="4" t="s">
        <v>102</v>
      </c>
      <c r="H284" s="4" t="s">
        <v>2903</v>
      </c>
      <c r="I284" s="4" t="s">
        <v>2904</v>
      </c>
      <c r="J284" s="4" t="s">
        <v>2905</v>
      </c>
      <c r="K284" s="4" t="s">
        <v>2906</v>
      </c>
      <c r="L284" s="4" t="s">
        <v>17</v>
      </c>
      <c r="M284" s="4" t="s">
        <v>1710</v>
      </c>
      <c r="N284" s="4" t="s">
        <v>1710</v>
      </c>
      <c r="O284" s="4" t="s">
        <v>2887</v>
      </c>
      <c r="P284" s="4" t="s">
        <v>2907</v>
      </c>
      <c r="Q284" s="4" t="s">
        <v>445</v>
      </c>
      <c r="R284" s="4" t="s">
        <v>203</v>
      </c>
      <c r="S284" s="4" t="s">
        <v>65</v>
      </c>
      <c r="T284" s="4" t="s">
        <v>2908</v>
      </c>
      <c r="U284" s="4" t="s">
        <v>2900</v>
      </c>
      <c r="V284" s="4" t="s">
        <v>655</v>
      </c>
      <c r="W284" s="4" t="s">
        <v>69</v>
      </c>
      <c r="X284" s="4" t="s">
        <v>70</v>
      </c>
      <c r="Y284" s="4"/>
    </row>
    <row r="285" spans="1:25" ht="54.7">
      <c r="A285" s="4" t="s">
        <v>2909</v>
      </c>
      <c r="B285" s="4" t="s">
        <v>2855</v>
      </c>
      <c r="C285" s="4" t="s">
        <v>2856</v>
      </c>
      <c r="D285" s="4" t="s">
        <v>2910</v>
      </c>
      <c r="E285" s="4" t="s">
        <v>73</v>
      </c>
      <c r="F285" s="4" t="s">
        <v>74</v>
      </c>
      <c r="G285" s="4" t="s">
        <v>776</v>
      </c>
      <c r="H285" s="4" t="s">
        <v>2911</v>
      </c>
      <c r="I285" s="4" t="s">
        <v>2912</v>
      </c>
      <c r="J285" s="4" t="s">
        <v>2913</v>
      </c>
      <c r="K285" s="4" t="s">
        <v>2914</v>
      </c>
      <c r="L285" s="4" t="s">
        <v>17</v>
      </c>
      <c r="M285" s="4" t="s">
        <v>1710</v>
      </c>
      <c r="N285" s="4" t="s">
        <v>1710</v>
      </c>
      <c r="O285" s="4" t="s">
        <v>2915</v>
      </c>
      <c r="P285" s="4" t="s">
        <v>2916</v>
      </c>
      <c r="Q285" s="4" t="s">
        <v>445</v>
      </c>
      <c r="R285" s="4" t="s">
        <v>1013</v>
      </c>
      <c r="S285" s="4" t="s">
        <v>65</v>
      </c>
      <c r="T285" s="4" t="s">
        <v>2917</v>
      </c>
      <c r="U285" s="4" t="s">
        <v>2882</v>
      </c>
      <c r="V285" s="4" t="s">
        <v>214</v>
      </c>
      <c r="W285" s="4" t="s">
        <v>69</v>
      </c>
      <c r="X285" s="4" t="s">
        <v>70</v>
      </c>
      <c r="Y285" s="4"/>
    </row>
    <row r="286" spans="1:25" ht="54.7">
      <c r="A286" s="4" t="s">
        <v>2918</v>
      </c>
      <c r="B286" s="4" t="s">
        <v>2855</v>
      </c>
      <c r="C286" s="4" t="s">
        <v>2856</v>
      </c>
      <c r="D286" s="4" t="s">
        <v>2919</v>
      </c>
      <c r="E286" s="4" t="s">
        <v>73</v>
      </c>
      <c r="F286" s="4" t="s">
        <v>74</v>
      </c>
      <c r="G286" s="4" t="s">
        <v>776</v>
      </c>
      <c r="H286" s="4" t="s">
        <v>2920</v>
      </c>
      <c r="I286" s="4" t="s">
        <v>2921</v>
      </c>
      <c r="J286" s="4" t="s">
        <v>2922</v>
      </c>
      <c r="K286" s="4" t="s">
        <v>2923</v>
      </c>
      <c r="L286" s="4" t="s">
        <v>17</v>
      </c>
      <c r="M286" s="4" t="s">
        <v>1710</v>
      </c>
      <c r="N286" s="4" t="s">
        <v>1710</v>
      </c>
      <c r="O286" s="4" t="s">
        <v>2924</v>
      </c>
      <c r="P286" s="4" t="s">
        <v>2925</v>
      </c>
      <c r="Q286" s="4" t="s">
        <v>2926</v>
      </c>
      <c r="R286" s="4" t="s">
        <v>2927</v>
      </c>
      <c r="S286" s="4" t="s">
        <v>65</v>
      </c>
      <c r="T286" s="4" t="s">
        <v>2928</v>
      </c>
      <c r="U286" s="4" t="s">
        <v>2929</v>
      </c>
      <c r="V286" s="4" t="s">
        <v>655</v>
      </c>
      <c r="W286" s="4" t="s">
        <v>2601</v>
      </c>
      <c r="X286" s="4" t="s">
        <v>70</v>
      </c>
      <c r="Y286" s="4"/>
    </row>
    <row r="287" spans="1:25" ht="54.7">
      <c r="A287" s="4" t="s">
        <v>2930</v>
      </c>
      <c r="B287" s="4" t="s">
        <v>2931</v>
      </c>
      <c r="C287" s="4" t="s">
        <v>2932</v>
      </c>
      <c r="D287" s="4" t="s">
        <v>2933</v>
      </c>
      <c r="E287" s="4" t="s">
        <v>52</v>
      </c>
      <c r="F287" s="4" t="s">
        <v>53</v>
      </c>
      <c r="G287" s="4" t="s">
        <v>102</v>
      </c>
      <c r="H287" s="4" t="s">
        <v>2934</v>
      </c>
      <c r="I287" s="4" t="s">
        <v>2935</v>
      </c>
      <c r="J287" s="4" t="s">
        <v>2936</v>
      </c>
      <c r="K287" s="4" t="s">
        <v>2937</v>
      </c>
      <c r="L287" s="4" t="s">
        <v>17</v>
      </c>
      <c r="M287" s="4" t="s">
        <v>1710</v>
      </c>
      <c r="N287" s="4" t="s">
        <v>1710</v>
      </c>
      <c r="O287" s="4" t="s">
        <v>2938</v>
      </c>
      <c r="P287" s="4" t="s">
        <v>2939</v>
      </c>
      <c r="Q287" s="4" t="s">
        <v>2940</v>
      </c>
      <c r="R287" s="4" t="s">
        <v>2941</v>
      </c>
      <c r="S287" s="4" t="s">
        <v>65</v>
      </c>
      <c r="T287" s="4" t="s">
        <v>2942</v>
      </c>
      <c r="U287" s="4" t="s">
        <v>1603</v>
      </c>
      <c r="V287" s="4" t="s">
        <v>655</v>
      </c>
      <c r="W287" s="4" t="s">
        <v>69</v>
      </c>
      <c r="X287" s="4" t="s">
        <v>70</v>
      </c>
      <c r="Y287" s="4"/>
    </row>
    <row r="288" spans="1:25" ht="41">
      <c r="A288" s="4" t="s">
        <v>2943</v>
      </c>
      <c r="B288" s="4" t="s">
        <v>2931</v>
      </c>
      <c r="C288" s="4" t="s">
        <v>2932</v>
      </c>
      <c r="D288" s="4" t="s">
        <v>2944</v>
      </c>
      <c r="E288" s="4" t="s">
        <v>101</v>
      </c>
      <c r="F288" s="4" t="s">
        <v>101</v>
      </c>
      <c r="G288" s="4" t="s">
        <v>102</v>
      </c>
      <c r="H288" s="4" t="s">
        <v>2945</v>
      </c>
      <c r="I288" s="4" t="s">
        <v>2946</v>
      </c>
      <c r="J288" s="4" t="s">
        <v>2947</v>
      </c>
      <c r="K288" s="4" t="s">
        <v>2948</v>
      </c>
      <c r="L288" s="4" t="s">
        <v>17</v>
      </c>
      <c r="M288" s="4" t="s">
        <v>1710</v>
      </c>
      <c r="N288" s="4" t="s">
        <v>1710</v>
      </c>
      <c r="O288" s="4" t="s">
        <v>2949</v>
      </c>
      <c r="P288" s="4" t="s">
        <v>2950</v>
      </c>
      <c r="Q288" s="4" t="s">
        <v>2951</v>
      </c>
      <c r="R288" s="4" t="s">
        <v>2952</v>
      </c>
      <c r="S288" s="4" t="s">
        <v>65</v>
      </c>
      <c r="T288" s="4" t="s">
        <v>786</v>
      </c>
      <c r="U288" s="4" t="s">
        <v>1738</v>
      </c>
      <c r="V288" s="4" t="s">
        <v>2024</v>
      </c>
      <c r="W288" s="4" t="s">
        <v>69</v>
      </c>
      <c r="X288" s="4" t="s">
        <v>70</v>
      </c>
      <c r="Y288" s="4"/>
    </row>
    <row r="289" spans="1:25" ht="54.7">
      <c r="A289" s="4" t="s">
        <v>2953</v>
      </c>
      <c r="B289" s="4" t="s">
        <v>2931</v>
      </c>
      <c r="C289" s="4" t="s">
        <v>2932</v>
      </c>
      <c r="D289" s="4" t="s">
        <v>2954</v>
      </c>
      <c r="E289" s="4" t="s">
        <v>101</v>
      </c>
      <c r="F289" s="4" t="s">
        <v>101</v>
      </c>
      <c r="G289" s="4" t="s">
        <v>102</v>
      </c>
      <c r="H289" s="4" t="s">
        <v>2955</v>
      </c>
      <c r="I289" s="4" t="s">
        <v>2956</v>
      </c>
      <c r="J289" s="4" t="s">
        <v>2957</v>
      </c>
      <c r="K289" s="4" t="s">
        <v>2958</v>
      </c>
      <c r="L289" s="4" t="s">
        <v>17</v>
      </c>
      <c r="M289" s="4" t="s">
        <v>1710</v>
      </c>
      <c r="N289" s="4" t="s">
        <v>1710</v>
      </c>
      <c r="O289" s="4" t="s">
        <v>2959</v>
      </c>
      <c r="P289" s="4" t="s">
        <v>2960</v>
      </c>
      <c r="Q289" s="4" t="s">
        <v>2951</v>
      </c>
      <c r="R289" s="4" t="s">
        <v>2961</v>
      </c>
      <c r="S289" s="4" t="s">
        <v>65</v>
      </c>
      <c r="T289" s="4" t="s">
        <v>2962</v>
      </c>
      <c r="U289" s="4" t="s">
        <v>1738</v>
      </c>
      <c r="V289" s="4" t="s">
        <v>655</v>
      </c>
      <c r="W289" s="4" t="s">
        <v>69</v>
      </c>
      <c r="X289" s="4" t="s">
        <v>70</v>
      </c>
      <c r="Y289" s="4"/>
    </row>
    <row r="290" spans="1:25" ht="54.7">
      <c r="A290" s="4" t="s">
        <v>2963</v>
      </c>
      <c r="B290" s="4" t="s">
        <v>2931</v>
      </c>
      <c r="C290" s="4" t="s">
        <v>2932</v>
      </c>
      <c r="D290" s="4" t="s">
        <v>2964</v>
      </c>
      <c r="E290" s="4" t="s">
        <v>101</v>
      </c>
      <c r="F290" s="4" t="s">
        <v>101</v>
      </c>
      <c r="G290" s="4" t="s">
        <v>102</v>
      </c>
      <c r="H290" s="4" t="s">
        <v>2965</v>
      </c>
      <c r="I290" s="4" t="s">
        <v>2966</v>
      </c>
      <c r="J290" s="4" t="s">
        <v>2967</v>
      </c>
      <c r="K290" s="4" t="s">
        <v>2968</v>
      </c>
      <c r="L290" s="4" t="s">
        <v>17</v>
      </c>
      <c r="M290" s="4" t="s">
        <v>1710</v>
      </c>
      <c r="N290" s="4" t="s">
        <v>1710</v>
      </c>
      <c r="O290" s="4" t="s">
        <v>2969</v>
      </c>
      <c r="P290" s="4" t="s">
        <v>2970</v>
      </c>
      <c r="Q290" s="4" t="s">
        <v>2951</v>
      </c>
      <c r="R290" s="4" t="s">
        <v>2971</v>
      </c>
      <c r="S290" s="4" t="s">
        <v>65</v>
      </c>
      <c r="T290" s="4" t="s">
        <v>2972</v>
      </c>
      <c r="U290" s="4" t="s">
        <v>2973</v>
      </c>
      <c r="V290" s="4" t="s">
        <v>2024</v>
      </c>
      <c r="W290" s="4" t="s">
        <v>69</v>
      </c>
      <c r="X290" s="4" t="s">
        <v>70</v>
      </c>
      <c r="Y290" s="4"/>
    </row>
    <row r="291" spans="1:25" ht="41">
      <c r="A291" s="4" t="s">
        <v>2974</v>
      </c>
      <c r="B291" s="4" t="s">
        <v>2931</v>
      </c>
      <c r="C291" s="4" t="s">
        <v>2932</v>
      </c>
      <c r="D291" s="4" t="s">
        <v>2975</v>
      </c>
      <c r="E291" s="4" t="s">
        <v>101</v>
      </c>
      <c r="F291" s="4" t="s">
        <v>101</v>
      </c>
      <c r="G291" s="4" t="s">
        <v>102</v>
      </c>
      <c r="H291" s="4" t="s">
        <v>2976</v>
      </c>
      <c r="I291" s="4" t="s">
        <v>2977</v>
      </c>
      <c r="J291" s="4" t="s">
        <v>2978</v>
      </c>
      <c r="K291" s="4" t="s">
        <v>2979</v>
      </c>
      <c r="L291" s="4" t="s">
        <v>17</v>
      </c>
      <c r="M291" s="4" t="s">
        <v>1710</v>
      </c>
      <c r="N291" s="4" t="s">
        <v>1710</v>
      </c>
      <c r="O291" s="4" t="s">
        <v>2980</v>
      </c>
      <c r="P291" s="4" t="s">
        <v>2981</v>
      </c>
      <c r="Q291" s="4" t="s">
        <v>2982</v>
      </c>
      <c r="R291" s="4" t="s">
        <v>2983</v>
      </c>
      <c r="S291" s="4" t="s">
        <v>65</v>
      </c>
      <c r="T291" s="4" t="s">
        <v>1424</v>
      </c>
      <c r="U291" s="4" t="s">
        <v>2973</v>
      </c>
      <c r="V291" s="4" t="s">
        <v>655</v>
      </c>
      <c r="W291" s="4" t="s">
        <v>69</v>
      </c>
      <c r="X291" s="4" t="s">
        <v>70</v>
      </c>
      <c r="Y291" s="4"/>
    </row>
    <row r="292" spans="1:25" ht="54.7">
      <c r="A292" s="4" t="s">
        <v>2984</v>
      </c>
      <c r="B292" s="4" t="s">
        <v>2931</v>
      </c>
      <c r="C292" s="4" t="s">
        <v>2932</v>
      </c>
      <c r="D292" s="4" t="s">
        <v>2985</v>
      </c>
      <c r="E292" s="4" t="s">
        <v>2986</v>
      </c>
      <c r="F292" s="4" t="s">
        <v>74</v>
      </c>
      <c r="G292" s="4" t="s">
        <v>776</v>
      </c>
      <c r="H292" s="4" t="s">
        <v>2987</v>
      </c>
      <c r="I292" s="4" t="s">
        <v>2988</v>
      </c>
      <c r="J292" s="4" t="s">
        <v>2989</v>
      </c>
      <c r="K292" s="4" t="s">
        <v>2990</v>
      </c>
      <c r="L292" s="4" t="s">
        <v>17</v>
      </c>
      <c r="M292" s="4" t="s">
        <v>1710</v>
      </c>
      <c r="N292" s="4" t="s">
        <v>1710</v>
      </c>
      <c r="O292" s="4" t="s">
        <v>2991</v>
      </c>
      <c r="P292" s="4" t="s">
        <v>1443</v>
      </c>
      <c r="Q292" s="4" t="s">
        <v>2992</v>
      </c>
      <c r="R292" s="4" t="s">
        <v>2993</v>
      </c>
      <c r="S292" s="4" t="s">
        <v>65</v>
      </c>
      <c r="T292" s="4" t="s">
        <v>2994</v>
      </c>
      <c r="U292" s="4" t="s">
        <v>2944</v>
      </c>
      <c r="V292" s="4" t="s">
        <v>2024</v>
      </c>
      <c r="W292" s="4" t="s">
        <v>69</v>
      </c>
      <c r="X292" s="4" t="s">
        <v>70</v>
      </c>
      <c r="Y292" s="4"/>
    </row>
    <row r="293" spans="1:25" ht="54.7">
      <c r="A293" s="4" t="s">
        <v>2995</v>
      </c>
      <c r="B293" s="4" t="s">
        <v>2931</v>
      </c>
      <c r="C293" s="4" t="s">
        <v>2932</v>
      </c>
      <c r="D293" s="4" t="s">
        <v>2996</v>
      </c>
      <c r="E293" s="4" t="s">
        <v>2986</v>
      </c>
      <c r="F293" s="4" t="s">
        <v>74</v>
      </c>
      <c r="G293" s="4" t="s">
        <v>776</v>
      </c>
      <c r="H293" s="4" t="s">
        <v>2997</v>
      </c>
      <c r="I293" s="4" t="s">
        <v>2998</v>
      </c>
      <c r="J293" s="4" t="s">
        <v>2999</v>
      </c>
      <c r="K293" s="4" t="s">
        <v>3000</v>
      </c>
      <c r="L293" s="4" t="s">
        <v>17</v>
      </c>
      <c r="M293" s="4" t="s">
        <v>1710</v>
      </c>
      <c r="N293" s="4" t="s">
        <v>1710</v>
      </c>
      <c r="O293" s="4" t="s">
        <v>3001</v>
      </c>
      <c r="P293" s="4" t="s">
        <v>3002</v>
      </c>
      <c r="Q293" s="4" t="s">
        <v>2951</v>
      </c>
      <c r="R293" s="4" t="s">
        <v>3003</v>
      </c>
      <c r="S293" s="4" t="s">
        <v>65</v>
      </c>
      <c r="T293" s="4" t="s">
        <v>833</v>
      </c>
      <c r="U293" s="4" t="s">
        <v>3004</v>
      </c>
      <c r="V293" s="4" t="s">
        <v>655</v>
      </c>
      <c r="W293" s="4" t="s">
        <v>98</v>
      </c>
      <c r="X293" s="4" t="s">
        <v>70</v>
      </c>
      <c r="Y293" s="4"/>
    </row>
    <row r="294" spans="1:25" ht="54.7">
      <c r="A294" s="4" t="s">
        <v>3005</v>
      </c>
      <c r="B294" s="4" t="s">
        <v>2931</v>
      </c>
      <c r="C294" s="4" t="s">
        <v>2932</v>
      </c>
      <c r="D294" s="4" t="s">
        <v>3006</v>
      </c>
      <c r="E294" s="4" t="s">
        <v>101</v>
      </c>
      <c r="F294" s="4" t="s">
        <v>101</v>
      </c>
      <c r="G294" s="4" t="s">
        <v>102</v>
      </c>
      <c r="H294" s="4" t="s">
        <v>3007</v>
      </c>
      <c r="I294" s="4" t="s">
        <v>3008</v>
      </c>
      <c r="J294" s="4" t="s">
        <v>3009</v>
      </c>
      <c r="K294" s="4" t="s">
        <v>3010</v>
      </c>
      <c r="L294" s="4" t="s">
        <v>17</v>
      </c>
      <c r="M294" s="4" t="s">
        <v>1710</v>
      </c>
      <c r="N294" s="4" t="s">
        <v>1710</v>
      </c>
      <c r="O294" s="4" t="s">
        <v>3011</v>
      </c>
      <c r="P294" s="4" t="s">
        <v>3012</v>
      </c>
      <c r="Q294" s="4" t="s">
        <v>2951</v>
      </c>
      <c r="R294" s="4" t="s">
        <v>3013</v>
      </c>
      <c r="S294" s="4" t="s">
        <v>65</v>
      </c>
      <c r="T294" s="4" t="s">
        <v>2928</v>
      </c>
      <c r="U294" s="4" t="s">
        <v>3014</v>
      </c>
      <c r="V294" s="4" t="s">
        <v>655</v>
      </c>
      <c r="W294" s="4" t="s">
        <v>2601</v>
      </c>
      <c r="X294" s="4" t="s">
        <v>70</v>
      </c>
      <c r="Y294" s="4"/>
    </row>
    <row r="295" spans="1:25" ht="54.7">
      <c r="A295" s="4" t="s">
        <v>3015</v>
      </c>
      <c r="B295" s="4" t="s">
        <v>2931</v>
      </c>
      <c r="C295" s="4" t="s">
        <v>2932</v>
      </c>
      <c r="D295" s="4" t="s">
        <v>3016</v>
      </c>
      <c r="E295" s="4" t="s">
        <v>52</v>
      </c>
      <c r="F295" s="4" t="s">
        <v>53</v>
      </c>
      <c r="G295" s="4" t="s">
        <v>54</v>
      </c>
      <c r="H295" s="4" t="s">
        <v>3017</v>
      </c>
      <c r="I295" s="4" t="s">
        <v>3018</v>
      </c>
      <c r="J295" s="4" t="s">
        <v>3019</v>
      </c>
      <c r="K295" s="4" t="s">
        <v>3020</v>
      </c>
      <c r="L295" s="4" t="s">
        <v>17</v>
      </c>
      <c r="M295" s="4" t="s">
        <v>1710</v>
      </c>
      <c r="N295" s="4" t="s">
        <v>1710</v>
      </c>
      <c r="O295" s="4" t="s">
        <v>3021</v>
      </c>
      <c r="P295" s="4" t="s">
        <v>3022</v>
      </c>
      <c r="Q295" s="4" t="s">
        <v>3023</v>
      </c>
      <c r="R295" s="4" t="s">
        <v>3024</v>
      </c>
      <c r="S295" s="4" t="s">
        <v>127</v>
      </c>
      <c r="T295" s="4" t="s">
        <v>3025</v>
      </c>
      <c r="U295" s="4" t="s">
        <v>3026</v>
      </c>
      <c r="V295" s="4" t="s">
        <v>655</v>
      </c>
      <c r="W295" s="4" t="s">
        <v>174</v>
      </c>
      <c r="X295" s="4" t="s">
        <v>70</v>
      </c>
      <c r="Y295" s="4"/>
    </row>
    <row r="296" spans="1:25" ht="54.7">
      <c r="A296" s="4" t="s">
        <v>3027</v>
      </c>
      <c r="B296" s="4" t="s">
        <v>2931</v>
      </c>
      <c r="C296" s="4" t="s">
        <v>2932</v>
      </c>
      <c r="D296" s="4" t="s">
        <v>3028</v>
      </c>
      <c r="E296" s="4" t="s">
        <v>1203</v>
      </c>
      <c r="F296" s="4" t="s">
        <v>127</v>
      </c>
      <c r="G296" s="4" t="s">
        <v>115</v>
      </c>
      <c r="H296" s="4" t="s">
        <v>3029</v>
      </c>
      <c r="I296" s="4" t="s">
        <v>3030</v>
      </c>
      <c r="J296" s="4" t="s">
        <v>3031</v>
      </c>
      <c r="K296" s="4" t="s">
        <v>3032</v>
      </c>
      <c r="L296" s="4" t="s">
        <v>17</v>
      </c>
      <c r="M296" s="4" t="s">
        <v>1710</v>
      </c>
      <c r="N296" s="4" t="s">
        <v>1710</v>
      </c>
      <c r="O296" s="4" t="s">
        <v>3033</v>
      </c>
      <c r="P296" s="4" t="s">
        <v>3034</v>
      </c>
      <c r="Q296" s="4" t="s">
        <v>2951</v>
      </c>
      <c r="R296" s="4" t="s">
        <v>3035</v>
      </c>
      <c r="S296" s="4" t="s">
        <v>127</v>
      </c>
      <c r="T296" s="4" t="s">
        <v>1212</v>
      </c>
      <c r="U296" s="4" t="s">
        <v>3036</v>
      </c>
      <c r="V296" s="4" t="s">
        <v>655</v>
      </c>
      <c r="W296" s="4" t="s">
        <v>142</v>
      </c>
      <c r="X296" s="4" t="s">
        <v>70</v>
      </c>
      <c r="Y296" s="4"/>
    </row>
    <row r="297" spans="1:25" ht="54.7">
      <c r="A297" s="4" t="s">
        <v>3037</v>
      </c>
      <c r="B297" s="4" t="s">
        <v>3038</v>
      </c>
      <c r="C297" s="4" t="s">
        <v>3039</v>
      </c>
      <c r="D297" s="4" t="s">
        <v>3040</v>
      </c>
      <c r="E297" s="4" t="s">
        <v>126</v>
      </c>
      <c r="F297" s="4" t="s">
        <v>127</v>
      </c>
      <c r="G297" s="4" t="s">
        <v>396</v>
      </c>
      <c r="H297" s="4" t="s">
        <v>3041</v>
      </c>
      <c r="I297" s="4" t="s">
        <v>3042</v>
      </c>
      <c r="J297" s="4" t="s">
        <v>3043</v>
      </c>
      <c r="K297" s="4" t="s">
        <v>3044</v>
      </c>
      <c r="L297" s="4" t="s">
        <v>8</v>
      </c>
      <c r="M297" s="4" t="s">
        <v>59</v>
      </c>
      <c r="N297" s="4" t="s">
        <v>60</v>
      </c>
      <c r="O297" s="4" t="s">
        <v>3045</v>
      </c>
      <c r="P297" s="4" t="s">
        <v>402</v>
      </c>
      <c r="Q297" s="4" t="s">
        <v>403</v>
      </c>
      <c r="R297" s="4" t="s">
        <v>3046</v>
      </c>
      <c r="S297" s="4" t="s">
        <v>127</v>
      </c>
      <c r="T297" s="4" t="s">
        <v>3047</v>
      </c>
      <c r="U297" s="4" t="s">
        <v>3048</v>
      </c>
      <c r="V297" s="4" t="s">
        <v>83</v>
      </c>
      <c r="W297" s="4" t="s">
        <v>291</v>
      </c>
      <c r="X297" s="4" t="s">
        <v>70</v>
      </c>
      <c r="Y297" s="4"/>
    </row>
    <row r="298" spans="1:25" ht="54.7">
      <c r="A298" s="4" t="s">
        <v>3049</v>
      </c>
      <c r="B298" s="4" t="s">
        <v>3038</v>
      </c>
      <c r="C298" s="4" t="s">
        <v>3039</v>
      </c>
      <c r="D298" s="4" t="s">
        <v>3050</v>
      </c>
      <c r="E298" s="4" t="s">
        <v>126</v>
      </c>
      <c r="F298" s="4" t="s">
        <v>127</v>
      </c>
      <c r="G298" s="4" t="s">
        <v>128</v>
      </c>
      <c r="H298" s="4" t="s">
        <v>3051</v>
      </c>
      <c r="I298" s="4" t="s">
        <v>3052</v>
      </c>
      <c r="J298" s="4" t="s">
        <v>3053</v>
      </c>
      <c r="K298" s="4" t="s">
        <v>3054</v>
      </c>
      <c r="L298" s="4" t="s">
        <v>8</v>
      </c>
      <c r="M298" s="4" t="s">
        <v>59</v>
      </c>
      <c r="N298" s="4" t="s">
        <v>60</v>
      </c>
      <c r="O298" s="4" t="s">
        <v>3055</v>
      </c>
      <c r="P298" s="4" t="s">
        <v>3056</v>
      </c>
      <c r="Q298" s="4" t="s">
        <v>403</v>
      </c>
      <c r="R298" s="4" t="s">
        <v>3057</v>
      </c>
      <c r="S298" s="4" t="s">
        <v>127</v>
      </c>
      <c r="T298" s="4" t="s">
        <v>3058</v>
      </c>
      <c r="U298" s="4" t="s">
        <v>3059</v>
      </c>
      <c r="V298" s="4" t="s">
        <v>97</v>
      </c>
      <c r="W298" s="4" t="s">
        <v>291</v>
      </c>
      <c r="X298" s="4" t="s">
        <v>70</v>
      </c>
      <c r="Y298" s="4"/>
    </row>
    <row r="299" spans="1:25" ht="54.7">
      <c r="A299" s="4" t="s">
        <v>3060</v>
      </c>
      <c r="B299" s="4" t="s">
        <v>3038</v>
      </c>
      <c r="C299" s="4" t="s">
        <v>3039</v>
      </c>
      <c r="D299" s="4" t="s">
        <v>3061</v>
      </c>
      <c r="E299" s="4" t="s">
        <v>126</v>
      </c>
      <c r="F299" s="4" t="s">
        <v>127</v>
      </c>
      <c r="G299" s="4" t="s">
        <v>1939</v>
      </c>
      <c r="H299" s="4" t="s">
        <v>3062</v>
      </c>
      <c r="I299" s="4" t="s">
        <v>3063</v>
      </c>
      <c r="J299" s="4" t="s">
        <v>3064</v>
      </c>
      <c r="K299" s="4" t="s">
        <v>3065</v>
      </c>
      <c r="L299" s="4" t="s">
        <v>8</v>
      </c>
      <c r="M299" s="4" t="s">
        <v>59</v>
      </c>
      <c r="N299" s="4" t="s">
        <v>60</v>
      </c>
      <c r="O299" s="4" t="s">
        <v>3066</v>
      </c>
      <c r="P299" s="4" t="s">
        <v>3067</v>
      </c>
      <c r="Q299" s="4" t="s">
        <v>403</v>
      </c>
      <c r="R299" s="4" t="s">
        <v>3068</v>
      </c>
      <c r="S299" s="4" t="s">
        <v>127</v>
      </c>
      <c r="T299" s="4" t="s">
        <v>3069</v>
      </c>
      <c r="U299" s="4" t="s">
        <v>3070</v>
      </c>
      <c r="V299" s="4" t="s">
        <v>138</v>
      </c>
      <c r="W299" s="4" t="s">
        <v>291</v>
      </c>
      <c r="X299" s="4" t="s">
        <v>70</v>
      </c>
      <c r="Y299" s="4"/>
    </row>
    <row r="300" spans="1:25" ht="54.7">
      <c r="A300" s="4" t="s">
        <v>3071</v>
      </c>
      <c r="B300" s="4" t="s">
        <v>3038</v>
      </c>
      <c r="C300" s="4" t="s">
        <v>3039</v>
      </c>
      <c r="D300" s="4" t="s">
        <v>3072</v>
      </c>
      <c r="E300" s="4" t="s">
        <v>353</v>
      </c>
      <c r="F300" s="4" t="s">
        <v>353</v>
      </c>
      <c r="G300" s="4" t="s">
        <v>142</v>
      </c>
      <c r="H300" s="4" t="s">
        <v>3073</v>
      </c>
      <c r="I300" s="4" t="s">
        <v>3074</v>
      </c>
      <c r="J300" s="4" t="s">
        <v>3075</v>
      </c>
      <c r="K300" s="4" t="s">
        <v>3076</v>
      </c>
      <c r="L300" s="4" t="s">
        <v>11</v>
      </c>
      <c r="M300" s="4" t="s">
        <v>59</v>
      </c>
      <c r="N300" s="4" t="s">
        <v>60</v>
      </c>
      <c r="O300" s="4" t="s">
        <v>3077</v>
      </c>
      <c r="P300" s="4" t="s">
        <v>3078</v>
      </c>
      <c r="Q300" s="4" t="s">
        <v>675</v>
      </c>
      <c r="R300" s="4" t="s">
        <v>3079</v>
      </c>
      <c r="S300" s="4" t="s">
        <v>127</v>
      </c>
      <c r="T300" s="4" t="s">
        <v>3080</v>
      </c>
      <c r="U300" s="4" t="s">
        <v>3081</v>
      </c>
      <c r="V300" s="4" t="s">
        <v>97</v>
      </c>
      <c r="W300" s="4" t="s">
        <v>142</v>
      </c>
      <c r="X300" s="4" t="s">
        <v>70</v>
      </c>
      <c r="Y300" s="4"/>
    </row>
    <row r="301" spans="1:25" ht="54.7">
      <c r="A301" s="4" t="s">
        <v>3082</v>
      </c>
      <c r="B301" s="4" t="s">
        <v>3038</v>
      </c>
      <c r="C301" s="4" t="s">
        <v>3039</v>
      </c>
      <c r="D301" s="4" t="s">
        <v>3083</v>
      </c>
      <c r="E301" s="4" t="s">
        <v>241</v>
      </c>
      <c r="F301" s="4" t="s">
        <v>242</v>
      </c>
      <c r="G301" s="4" t="s">
        <v>1939</v>
      </c>
      <c r="H301" s="4" t="s">
        <v>3084</v>
      </c>
      <c r="I301" s="4" t="s">
        <v>3085</v>
      </c>
      <c r="J301" s="4" t="s">
        <v>3086</v>
      </c>
      <c r="K301" s="4" t="s">
        <v>3087</v>
      </c>
      <c r="L301" s="4" t="s">
        <v>8</v>
      </c>
      <c r="M301" s="4" t="s">
        <v>59</v>
      </c>
      <c r="N301" s="4" t="s">
        <v>60</v>
      </c>
      <c r="O301" s="4" t="s">
        <v>2371</v>
      </c>
      <c r="P301" s="4" t="s">
        <v>3088</v>
      </c>
      <c r="Q301" s="4" t="s">
        <v>3089</v>
      </c>
      <c r="R301" s="4" t="s">
        <v>3090</v>
      </c>
      <c r="S301" s="4" t="s">
        <v>127</v>
      </c>
      <c r="T301" s="4" t="s">
        <v>3091</v>
      </c>
      <c r="U301" s="4" t="s">
        <v>3092</v>
      </c>
      <c r="V301" s="4" t="s">
        <v>97</v>
      </c>
      <c r="W301" s="4" t="s">
        <v>291</v>
      </c>
      <c r="X301" s="4" t="s">
        <v>70</v>
      </c>
      <c r="Y301" s="4"/>
    </row>
    <row r="302" spans="1:25" ht="54.7">
      <c r="A302" s="4" t="s">
        <v>3093</v>
      </c>
      <c r="B302" s="4" t="s">
        <v>3038</v>
      </c>
      <c r="C302" s="4" t="s">
        <v>3039</v>
      </c>
      <c r="D302" s="4" t="s">
        <v>3094</v>
      </c>
      <c r="E302" s="4" t="s">
        <v>241</v>
      </c>
      <c r="F302" s="4" t="s">
        <v>242</v>
      </c>
      <c r="G302" s="4" t="s">
        <v>1939</v>
      </c>
      <c r="H302" s="4" t="s">
        <v>3095</v>
      </c>
      <c r="I302" s="4" t="s">
        <v>3096</v>
      </c>
      <c r="J302" s="4" t="s">
        <v>3097</v>
      </c>
      <c r="K302" s="4" t="s">
        <v>3098</v>
      </c>
      <c r="L302" s="4" t="s">
        <v>8</v>
      </c>
      <c r="M302" s="4" t="s">
        <v>59</v>
      </c>
      <c r="N302" s="4" t="s">
        <v>60</v>
      </c>
      <c r="O302" s="4" t="s">
        <v>2371</v>
      </c>
      <c r="P302" s="4" t="s">
        <v>3099</v>
      </c>
      <c r="Q302" s="4" t="s">
        <v>3100</v>
      </c>
      <c r="R302" s="4" t="s">
        <v>3101</v>
      </c>
      <c r="S302" s="4" t="s">
        <v>127</v>
      </c>
      <c r="T302" s="4" t="s">
        <v>3102</v>
      </c>
      <c r="U302" s="4" t="s">
        <v>1948</v>
      </c>
      <c r="V302" s="4" t="s">
        <v>97</v>
      </c>
      <c r="W302" s="4" t="s">
        <v>291</v>
      </c>
      <c r="X302" s="4" t="s">
        <v>70</v>
      </c>
      <c r="Y302" s="4"/>
    </row>
    <row r="303" spans="1:25" ht="54.7">
      <c r="A303" s="4" t="s">
        <v>3103</v>
      </c>
      <c r="B303" s="4" t="s">
        <v>3038</v>
      </c>
      <c r="C303" s="4" t="s">
        <v>3039</v>
      </c>
      <c r="D303" s="4" t="s">
        <v>3104</v>
      </c>
      <c r="E303" s="4" t="s">
        <v>241</v>
      </c>
      <c r="F303" s="4" t="s">
        <v>242</v>
      </c>
      <c r="G303" s="4" t="s">
        <v>1939</v>
      </c>
      <c r="H303" s="4" t="s">
        <v>3105</v>
      </c>
      <c r="I303" s="4" t="s">
        <v>3106</v>
      </c>
      <c r="J303" s="4" t="s">
        <v>3107</v>
      </c>
      <c r="K303" s="4" t="s">
        <v>3108</v>
      </c>
      <c r="L303" s="4" t="s">
        <v>8</v>
      </c>
      <c r="M303" s="4" t="s">
        <v>59</v>
      </c>
      <c r="N303" s="4" t="s">
        <v>60</v>
      </c>
      <c r="O303" s="4" t="s">
        <v>3109</v>
      </c>
      <c r="P303" s="4" t="s">
        <v>3088</v>
      </c>
      <c r="Q303" s="4" t="s">
        <v>3110</v>
      </c>
      <c r="R303" s="4" t="s">
        <v>3111</v>
      </c>
      <c r="S303" s="4" t="s">
        <v>127</v>
      </c>
      <c r="T303" s="4" t="s">
        <v>3112</v>
      </c>
      <c r="U303" s="4" t="s">
        <v>1956</v>
      </c>
      <c r="V303" s="4" t="s">
        <v>97</v>
      </c>
      <c r="W303" s="4" t="s">
        <v>291</v>
      </c>
      <c r="X303" s="4" t="s">
        <v>70</v>
      </c>
      <c r="Y303" s="4"/>
    </row>
    <row r="304" spans="1:25" ht="54.7">
      <c r="A304" s="4" t="s">
        <v>3113</v>
      </c>
      <c r="B304" s="4" t="s">
        <v>3038</v>
      </c>
      <c r="C304" s="4" t="s">
        <v>3039</v>
      </c>
      <c r="D304" s="4" t="s">
        <v>3114</v>
      </c>
      <c r="E304" s="4" t="s">
        <v>1203</v>
      </c>
      <c r="F304" s="4" t="s">
        <v>127</v>
      </c>
      <c r="G304" s="4" t="s">
        <v>1903</v>
      </c>
      <c r="H304" s="4" t="s">
        <v>3115</v>
      </c>
      <c r="I304" s="4" t="s">
        <v>3116</v>
      </c>
      <c r="J304" s="4" t="s">
        <v>3117</v>
      </c>
      <c r="K304" s="4" t="s">
        <v>3118</v>
      </c>
      <c r="L304" s="4" t="s">
        <v>8</v>
      </c>
      <c r="M304" s="4" t="s">
        <v>59</v>
      </c>
      <c r="N304" s="4" t="s">
        <v>60</v>
      </c>
      <c r="O304" s="4" t="s">
        <v>3119</v>
      </c>
      <c r="P304" s="4" t="s">
        <v>3120</v>
      </c>
      <c r="Q304" s="4" t="s">
        <v>675</v>
      </c>
      <c r="R304" s="4" t="s">
        <v>675</v>
      </c>
      <c r="S304" s="4" t="s">
        <v>127</v>
      </c>
      <c r="T304" s="4" t="s">
        <v>3120</v>
      </c>
      <c r="U304" s="4" t="s">
        <v>1923</v>
      </c>
      <c r="V304" s="4" t="s">
        <v>97</v>
      </c>
      <c r="W304" s="4" t="s">
        <v>2355</v>
      </c>
      <c r="X304" s="4" t="s">
        <v>70</v>
      </c>
      <c r="Y304" s="4"/>
    </row>
    <row r="305" spans="1:25" ht="54.7">
      <c r="A305" s="4" t="s">
        <v>3121</v>
      </c>
      <c r="B305" s="4" t="s">
        <v>3038</v>
      </c>
      <c r="C305" s="4" t="s">
        <v>3039</v>
      </c>
      <c r="D305" s="4" t="s">
        <v>3122</v>
      </c>
      <c r="E305" s="4" t="s">
        <v>126</v>
      </c>
      <c r="F305" s="4" t="s">
        <v>127</v>
      </c>
      <c r="G305" s="4" t="s">
        <v>1903</v>
      </c>
      <c r="H305" s="4" t="s">
        <v>3123</v>
      </c>
      <c r="I305" s="4" t="s">
        <v>3124</v>
      </c>
      <c r="J305" s="4" t="s">
        <v>3125</v>
      </c>
      <c r="K305" s="4" t="s">
        <v>3126</v>
      </c>
      <c r="L305" s="4" t="s">
        <v>11</v>
      </c>
      <c r="M305" s="4" t="s">
        <v>1919</v>
      </c>
      <c r="N305" s="4" t="s">
        <v>60</v>
      </c>
      <c r="O305" s="4" t="s">
        <v>127</v>
      </c>
      <c r="P305" s="4" t="s">
        <v>3127</v>
      </c>
      <c r="Q305" s="4" t="s">
        <v>3128</v>
      </c>
      <c r="R305" s="4" t="s">
        <v>3129</v>
      </c>
      <c r="S305" s="4" t="s">
        <v>127</v>
      </c>
      <c r="T305" s="4" t="s">
        <v>3130</v>
      </c>
      <c r="U305" s="4" t="s">
        <v>1910</v>
      </c>
      <c r="V305" s="4" t="s">
        <v>97</v>
      </c>
      <c r="W305" s="4" t="s">
        <v>2355</v>
      </c>
      <c r="X305" s="4" t="s">
        <v>70</v>
      </c>
      <c r="Y305" s="4"/>
    </row>
    <row r="306" spans="1:25" ht="54.7">
      <c r="A306" s="4" t="s">
        <v>3131</v>
      </c>
      <c r="B306" s="4" t="s">
        <v>3038</v>
      </c>
      <c r="C306" s="4" t="s">
        <v>3039</v>
      </c>
      <c r="D306" s="4" t="s">
        <v>3132</v>
      </c>
      <c r="E306" s="4" t="s">
        <v>126</v>
      </c>
      <c r="F306" s="4" t="s">
        <v>127</v>
      </c>
      <c r="G306" s="4" t="s">
        <v>396</v>
      </c>
      <c r="H306" s="4" t="s">
        <v>3133</v>
      </c>
      <c r="I306" s="4" t="s">
        <v>3134</v>
      </c>
      <c r="J306" s="4" t="s">
        <v>3135</v>
      </c>
      <c r="K306" s="4" t="s">
        <v>3136</v>
      </c>
      <c r="L306" s="4" t="s">
        <v>8</v>
      </c>
      <c r="M306" s="4" t="s">
        <v>59</v>
      </c>
      <c r="N306" s="4" t="s">
        <v>60</v>
      </c>
      <c r="O306" s="4" t="s">
        <v>3137</v>
      </c>
      <c r="P306" s="4" t="s">
        <v>3138</v>
      </c>
      <c r="Q306" s="4" t="s">
        <v>675</v>
      </c>
      <c r="R306" s="4" t="s">
        <v>3139</v>
      </c>
      <c r="S306" s="4" t="s">
        <v>127</v>
      </c>
      <c r="T306" s="4" t="s">
        <v>3140</v>
      </c>
      <c r="U306" s="4" t="s">
        <v>406</v>
      </c>
      <c r="V306" s="4" t="s">
        <v>97</v>
      </c>
      <c r="W306" s="4" t="s">
        <v>98</v>
      </c>
      <c r="X306" s="4" t="s">
        <v>70</v>
      </c>
      <c r="Y306" s="4"/>
    </row>
    <row r="307" spans="1:25" ht="54.7">
      <c r="A307" s="4" t="s">
        <v>3141</v>
      </c>
      <c r="B307" s="4" t="s">
        <v>3038</v>
      </c>
      <c r="C307" s="4" t="s">
        <v>3039</v>
      </c>
      <c r="D307" s="4" t="s">
        <v>3142</v>
      </c>
      <c r="E307" s="4" t="s">
        <v>556</v>
      </c>
      <c r="F307" s="4" t="s">
        <v>127</v>
      </c>
      <c r="G307" s="4" t="s">
        <v>396</v>
      </c>
      <c r="H307" s="4" t="s">
        <v>3143</v>
      </c>
      <c r="I307" s="4" t="s">
        <v>3144</v>
      </c>
      <c r="J307" s="4" t="s">
        <v>3145</v>
      </c>
      <c r="K307" s="4" t="s">
        <v>3146</v>
      </c>
      <c r="L307" s="4" t="s">
        <v>11</v>
      </c>
      <c r="M307" s="4" t="s">
        <v>168</v>
      </c>
      <c r="N307" s="4" t="s">
        <v>169</v>
      </c>
      <c r="O307" s="4" t="s">
        <v>3147</v>
      </c>
      <c r="P307" s="4" t="s">
        <v>1880</v>
      </c>
      <c r="Q307" s="4" t="s">
        <v>675</v>
      </c>
      <c r="R307" s="4" t="s">
        <v>3148</v>
      </c>
      <c r="S307" s="4" t="s">
        <v>65</v>
      </c>
      <c r="T307" s="4" t="s">
        <v>3149</v>
      </c>
      <c r="U307" s="4" t="s">
        <v>444</v>
      </c>
      <c r="V307" s="4" t="s">
        <v>97</v>
      </c>
      <c r="W307" s="4" t="s">
        <v>291</v>
      </c>
      <c r="X307" s="4" t="s">
        <v>70</v>
      </c>
      <c r="Y307" s="4"/>
    </row>
    <row r="308" spans="1:25" ht="68.349999999999994">
      <c r="A308" s="4" t="s">
        <v>3150</v>
      </c>
      <c r="B308" s="4" t="s">
        <v>3038</v>
      </c>
      <c r="C308" s="4" t="s">
        <v>3039</v>
      </c>
      <c r="D308" s="4" t="s">
        <v>3151</v>
      </c>
      <c r="E308" s="4" t="s">
        <v>126</v>
      </c>
      <c r="F308" s="4" t="s">
        <v>127</v>
      </c>
      <c r="G308" s="4" t="s">
        <v>396</v>
      </c>
      <c r="H308" s="4" t="s">
        <v>3152</v>
      </c>
      <c r="I308" s="4" t="s">
        <v>3153</v>
      </c>
      <c r="J308" s="4" t="s">
        <v>3154</v>
      </c>
      <c r="K308" s="4" t="s">
        <v>3155</v>
      </c>
      <c r="L308" s="4" t="s">
        <v>8</v>
      </c>
      <c r="M308" s="4" t="s">
        <v>59</v>
      </c>
      <c r="N308" s="4" t="s">
        <v>60</v>
      </c>
      <c r="O308" s="4" t="s">
        <v>1890</v>
      </c>
      <c r="P308" s="4" t="s">
        <v>2342</v>
      </c>
      <c r="Q308" s="4" t="s">
        <v>675</v>
      </c>
      <c r="R308" s="4" t="s">
        <v>3156</v>
      </c>
      <c r="S308" s="4" t="s">
        <v>127</v>
      </c>
      <c r="T308" s="4" t="s">
        <v>2344</v>
      </c>
      <c r="U308" s="4" t="s">
        <v>3157</v>
      </c>
      <c r="V308" s="4" t="s">
        <v>97</v>
      </c>
      <c r="W308" s="4" t="s">
        <v>291</v>
      </c>
      <c r="X308" s="4" t="s">
        <v>70</v>
      </c>
      <c r="Y308" s="4"/>
    </row>
    <row r="309" spans="1:25" ht="54.7">
      <c r="A309" s="4" t="s">
        <v>3158</v>
      </c>
      <c r="B309" s="4" t="s">
        <v>3038</v>
      </c>
      <c r="C309" s="4" t="s">
        <v>3039</v>
      </c>
      <c r="D309" s="4" t="s">
        <v>3159</v>
      </c>
      <c r="E309" s="4" t="s">
        <v>126</v>
      </c>
      <c r="F309" s="4" t="s">
        <v>127</v>
      </c>
      <c r="G309" s="4" t="s">
        <v>396</v>
      </c>
      <c r="H309" s="4" t="s">
        <v>3160</v>
      </c>
      <c r="I309" s="4" t="s">
        <v>3161</v>
      </c>
      <c r="J309" s="4" t="s">
        <v>3162</v>
      </c>
      <c r="K309" s="4" t="s">
        <v>3163</v>
      </c>
      <c r="L309" s="4" t="s">
        <v>8</v>
      </c>
      <c r="M309" s="4" t="s">
        <v>59</v>
      </c>
      <c r="N309" s="4" t="s">
        <v>60</v>
      </c>
      <c r="O309" s="4" t="s">
        <v>3164</v>
      </c>
      <c r="P309" s="4" t="s">
        <v>3165</v>
      </c>
      <c r="Q309" s="4" t="s">
        <v>675</v>
      </c>
      <c r="R309" s="4" t="s">
        <v>3166</v>
      </c>
      <c r="S309" s="4" t="s">
        <v>127</v>
      </c>
      <c r="T309" s="4" t="s">
        <v>3167</v>
      </c>
      <c r="U309" s="4" t="s">
        <v>406</v>
      </c>
      <c r="V309" s="4" t="s">
        <v>97</v>
      </c>
      <c r="W309" s="4" t="s">
        <v>291</v>
      </c>
      <c r="X309" s="4" t="s">
        <v>70</v>
      </c>
      <c r="Y309" s="4"/>
    </row>
    <row r="310" spans="1:25" ht="54.7">
      <c r="A310" s="4" t="s">
        <v>3168</v>
      </c>
      <c r="B310" s="4" t="s">
        <v>3038</v>
      </c>
      <c r="C310" s="4" t="s">
        <v>3039</v>
      </c>
      <c r="D310" s="4" t="s">
        <v>3169</v>
      </c>
      <c r="E310" s="4" t="s">
        <v>241</v>
      </c>
      <c r="F310" s="4" t="s">
        <v>242</v>
      </c>
      <c r="G310" s="4" t="s">
        <v>178</v>
      </c>
      <c r="H310" s="4" t="s">
        <v>3170</v>
      </c>
      <c r="I310" s="4" t="s">
        <v>3171</v>
      </c>
      <c r="J310" s="4" t="s">
        <v>3172</v>
      </c>
      <c r="K310" s="4" t="s">
        <v>3173</v>
      </c>
      <c r="L310" s="4" t="s">
        <v>11</v>
      </c>
      <c r="M310" s="4" t="s">
        <v>59</v>
      </c>
      <c r="N310" s="4" t="s">
        <v>60</v>
      </c>
      <c r="O310" s="4" t="s">
        <v>3174</v>
      </c>
      <c r="P310" s="4" t="s">
        <v>248</v>
      </c>
      <c r="Q310" s="4" t="s">
        <v>907</v>
      </c>
      <c r="R310" s="4" t="s">
        <v>3175</v>
      </c>
      <c r="S310" s="4" t="s">
        <v>65</v>
      </c>
      <c r="T310" s="4" t="s">
        <v>250</v>
      </c>
      <c r="U310" s="4" t="s">
        <v>3176</v>
      </c>
      <c r="V310" s="4" t="s">
        <v>97</v>
      </c>
      <c r="W310" s="4" t="s">
        <v>98</v>
      </c>
      <c r="X310" s="4" t="s">
        <v>70</v>
      </c>
      <c r="Y310" s="4"/>
    </row>
    <row r="311" spans="1:25" ht="54.7">
      <c r="A311" s="4" t="s">
        <v>3177</v>
      </c>
      <c r="B311" s="4" t="s">
        <v>3178</v>
      </c>
      <c r="C311" s="4" t="s">
        <v>3179</v>
      </c>
      <c r="D311" s="4" t="s">
        <v>3180</v>
      </c>
      <c r="E311" s="4" t="s">
        <v>3181</v>
      </c>
      <c r="F311" s="4" t="s">
        <v>3182</v>
      </c>
      <c r="G311" s="4" t="s">
        <v>178</v>
      </c>
      <c r="H311" s="4" t="s">
        <v>3183</v>
      </c>
      <c r="I311" s="4" t="s">
        <v>3184</v>
      </c>
      <c r="J311" s="4" t="s">
        <v>3185</v>
      </c>
      <c r="K311" s="4" t="s">
        <v>3186</v>
      </c>
      <c r="L311" s="4" t="s">
        <v>11</v>
      </c>
      <c r="M311" s="4" t="s">
        <v>59</v>
      </c>
      <c r="N311" s="4" t="s">
        <v>60</v>
      </c>
      <c r="O311" s="4" t="s">
        <v>3187</v>
      </c>
      <c r="P311" s="4" t="s">
        <v>574</v>
      </c>
      <c r="Q311" s="4" t="s">
        <v>63</v>
      </c>
      <c r="R311" s="4" t="s">
        <v>3188</v>
      </c>
      <c r="S311" s="4" t="s">
        <v>65</v>
      </c>
      <c r="T311" s="4" t="s">
        <v>3189</v>
      </c>
      <c r="U311" s="4" t="s">
        <v>238</v>
      </c>
      <c r="V311" s="4" t="s">
        <v>97</v>
      </c>
      <c r="W311" s="4" t="s">
        <v>69</v>
      </c>
      <c r="X311" s="4" t="s">
        <v>70</v>
      </c>
      <c r="Y311" s="4"/>
    </row>
    <row r="312" spans="1:25" ht="54.7">
      <c r="A312" s="4" t="s">
        <v>3190</v>
      </c>
      <c r="B312" s="4" t="s">
        <v>3178</v>
      </c>
      <c r="C312" s="4" t="s">
        <v>3179</v>
      </c>
      <c r="D312" s="4" t="s">
        <v>184</v>
      </c>
      <c r="E312" s="4" t="s">
        <v>177</v>
      </c>
      <c r="F312" s="4" t="s">
        <v>163</v>
      </c>
      <c r="G312" s="4" t="s">
        <v>178</v>
      </c>
      <c r="H312" s="4" t="s">
        <v>3191</v>
      </c>
      <c r="I312" s="4" t="s">
        <v>3192</v>
      </c>
      <c r="J312" s="4" t="s">
        <v>3193</v>
      </c>
      <c r="K312" s="4" t="s">
        <v>3194</v>
      </c>
      <c r="L312" s="4" t="s">
        <v>8</v>
      </c>
      <c r="M312" s="4" t="s">
        <v>59</v>
      </c>
      <c r="N312" s="4" t="s">
        <v>60</v>
      </c>
      <c r="O312" s="4" t="s">
        <v>3195</v>
      </c>
      <c r="P312" s="4" t="s">
        <v>3196</v>
      </c>
      <c r="Q312" s="4" t="s">
        <v>63</v>
      </c>
      <c r="R312" s="4" t="s">
        <v>3197</v>
      </c>
      <c r="S312" s="4" t="s">
        <v>65</v>
      </c>
      <c r="T312" s="4" t="s">
        <v>237</v>
      </c>
      <c r="U312" s="4" t="s">
        <v>1810</v>
      </c>
      <c r="V312" s="4" t="s">
        <v>83</v>
      </c>
      <c r="W312" s="4" t="s">
        <v>69</v>
      </c>
      <c r="X312" s="4" t="s">
        <v>70</v>
      </c>
      <c r="Y312" s="4"/>
    </row>
    <row r="313" spans="1:25" ht="54.7">
      <c r="A313" s="4" t="s">
        <v>3198</v>
      </c>
      <c r="B313" s="4" t="s">
        <v>3178</v>
      </c>
      <c r="C313" s="4" t="s">
        <v>3179</v>
      </c>
      <c r="D313" s="4" t="s">
        <v>3199</v>
      </c>
      <c r="E313" s="4" t="s">
        <v>177</v>
      </c>
      <c r="F313" s="4" t="s">
        <v>163</v>
      </c>
      <c r="G313" s="4" t="s">
        <v>178</v>
      </c>
      <c r="H313" s="4" t="s">
        <v>3200</v>
      </c>
      <c r="I313" s="4" t="s">
        <v>3201</v>
      </c>
      <c r="J313" s="4" t="s">
        <v>3202</v>
      </c>
      <c r="K313" s="4" t="s">
        <v>3203</v>
      </c>
      <c r="L313" s="4" t="s">
        <v>14</v>
      </c>
      <c r="M313" s="4" t="s">
        <v>168</v>
      </c>
      <c r="N313" s="4" t="s">
        <v>169</v>
      </c>
      <c r="O313" s="4" t="s">
        <v>3204</v>
      </c>
      <c r="P313" s="4" t="s">
        <v>1808</v>
      </c>
      <c r="Q313" s="4" t="s">
        <v>486</v>
      </c>
      <c r="R313" s="4" t="s">
        <v>3197</v>
      </c>
      <c r="S313" s="4" t="s">
        <v>65</v>
      </c>
      <c r="T313" s="4" t="s">
        <v>2572</v>
      </c>
      <c r="U313" s="4" t="s">
        <v>1358</v>
      </c>
      <c r="V313" s="4" t="s">
        <v>97</v>
      </c>
      <c r="W313" s="4" t="s">
        <v>69</v>
      </c>
      <c r="X313" s="4" t="s">
        <v>70</v>
      </c>
      <c r="Y313" s="4"/>
    </row>
    <row r="314" spans="1:25" ht="54.7">
      <c r="A314" s="4" t="s">
        <v>3205</v>
      </c>
      <c r="B314" s="4" t="s">
        <v>3178</v>
      </c>
      <c r="C314" s="4" t="s">
        <v>3179</v>
      </c>
      <c r="D314" s="4" t="s">
        <v>3206</v>
      </c>
      <c r="E314" s="4" t="s">
        <v>141</v>
      </c>
      <c r="F314" s="4" t="s">
        <v>142</v>
      </c>
      <c r="G314" s="4" t="s">
        <v>178</v>
      </c>
      <c r="H314" s="4" t="s">
        <v>3207</v>
      </c>
      <c r="I314" s="4" t="s">
        <v>3208</v>
      </c>
      <c r="J314" s="4" t="s">
        <v>3209</v>
      </c>
      <c r="K314" s="4" t="s">
        <v>3210</v>
      </c>
      <c r="L314" s="4" t="s">
        <v>8</v>
      </c>
      <c r="M314" s="4" t="s">
        <v>59</v>
      </c>
      <c r="N314" s="4" t="s">
        <v>60</v>
      </c>
      <c r="O314" s="4" t="s">
        <v>3211</v>
      </c>
      <c r="P314" s="4" t="s">
        <v>3212</v>
      </c>
      <c r="Q314" s="4" t="s">
        <v>3213</v>
      </c>
      <c r="R314" s="4" t="s">
        <v>3214</v>
      </c>
      <c r="S314" s="4" t="s">
        <v>65</v>
      </c>
      <c r="T314" s="4" t="s">
        <v>564</v>
      </c>
      <c r="U314" s="4" t="s">
        <v>950</v>
      </c>
      <c r="V314" s="4" t="s">
        <v>97</v>
      </c>
      <c r="W314" s="4" t="s">
        <v>142</v>
      </c>
      <c r="X314" s="4" t="s">
        <v>70</v>
      </c>
      <c r="Y314" s="4"/>
    </row>
    <row r="315" spans="1:25" ht="54.7">
      <c r="A315" s="4" t="s">
        <v>3215</v>
      </c>
      <c r="B315" s="4" t="s">
        <v>3178</v>
      </c>
      <c r="C315" s="4" t="s">
        <v>3179</v>
      </c>
      <c r="D315" s="4" t="s">
        <v>3216</v>
      </c>
      <c r="E315" s="4" t="s">
        <v>787</v>
      </c>
      <c r="F315" s="4" t="s">
        <v>142</v>
      </c>
      <c r="G315" s="4" t="s">
        <v>178</v>
      </c>
      <c r="H315" s="4" t="s">
        <v>3217</v>
      </c>
      <c r="I315" s="4" t="s">
        <v>3218</v>
      </c>
      <c r="J315" s="4" t="s">
        <v>3219</v>
      </c>
      <c r="K315" s="4" t="s">
        <v>3220</v>
      </c>
      <c r="L315" s="4" t="s">
        <v>8</v>
      </c>
      <c r="M315" s="4" t="s">
        <v>59</v>
      </c>
      <c r="N315" s="4" t="s">
        <v>60</v>
      </c>
      <c r="O315" s="4" t="s">
        <v>1788</v>
      </c>
      <c r="P315" s="4" t="s">
        <v>3221</v>
      </c>
      <c r="Q315" s="4" t="s">
        <v>1374</v>
      </c>
      <c r="R315" s="4" t="s">
        <v>3222</v>
      </c>
      <c r="S315" s="4" t="s">
        <v>65</v>
      </c>
      <c r="T315" s="4" t="s">
        <v>3223</v>
      </c>
      <c r="U315" s="4" t="s">
        <v>3224</v>
      </c>
      <c r="V315" s="4" t="s">
        <v>83</v>
      </c>
      <c r="W315" s="4" t="s">
        <v>98</v>
      </c>
      <c r="X315" s="4" t="s">
        <v>70</v>
      </c>
      <c r="Y315" s="4"/>
    </row>
    <row r="316" spans="1:25" ht="54.7">
      <c r="A316" s="4" t="s">
        <v>3225</v>
      </c>
      <c r="B316" s="4" t="s">
        <v>3178</v>
      </c>
      <c r="C316" s="4" t="s">
        <v>3179</v>
      </c>
      <c r="D316" s="4" t="s">
        <v>3226</v>
      </c>
      <c r="E316" s="4" t="s">
        <v>556</v>
      </c>
      <c r="F316" s="4" t="s">
        <v>3182</v>
      </c>
      <c r="G316" s="4" t="s">
        <v>1903</v>
      </c>
      <c r="H316" s="4" t="s">
        <v>3227</v>
      </c>
      <c r="I316" s="4" t="s">
        <v>3228</v>
      </c>
      <c r="J316" s="4" t="s">
        <v>3229</v>
      </c>
      <c r="K316" s="4" t="s">
        <v>3230</v>
      </c>
      <c r="L316" s="4" t="s">
        <v>8</v>
      </c>
      <c r="M316" s="4" t="s">
        <v>1919</v>
      </c>
      <c r="N316" s="4" t="s">
        <v>60</v>
      </c>
      <c r="O316" s="4" t="s">
        <v>3231</v>
      </c>
      <c r="P316" s="4" t="s">
        <v>3232</v>
      </c>
      <c r="Q316" s="4" t="s">
        <v>3128</v>
      </c>
      <c r="R316" s="4" t="s">
        <v>3233</v>
      </c>
      <c r="S316" s="4" t="s">
        <v>1910</v>
      </c>
      <c r="T316" s="4" t="s">
        <v>3234</v>
      </c>
      <c r="U316" s="4" t="s">
        <v>3235</v>
      </c>
      <c r="V316" s="4" t="s">
        <v>97</v>
      </c>
      <c r="W316" s="4" t="s">
        <v>3236</v>
      </c>
      <c r="X316" s="4" t="s">
        <v>70</v>
      </c>
      <c r="Y316" s="4"/>
    </row>
    <row r="317" spans="1:25" ht="54.7">
      <c r="A317" s="4" t="s">
        <v>3237</v>
      </c>
      <c r="B317" s="4" t="s">
        <v>3178</v>
      </c>
      <c r="C317" s="4" t="s">
        <v>3179</v>
      </c>
      <c r="D317" s="4" t="s">
        <v>3238</v>
      </c>
      <c r="E317" s="4" t="s">
        <v>73</v>
      </c>
      <c r="F317" s="4" t="s">
        <v>74</v>
      </c>
      <c r="G317" s="4" t="s">
        <v>1903</v>
      </c>
      <c r="H317" s="4" t="s">
        <v>3239</v>
      </c>
      <c r="I317" s="4" t="s">
        <v>3240</v>
      </c>
      <c r="J317" s="4" t="s">
        <v>3241</v>
      </c>
      <c r="K317" s="4" t="s">
        <v>3242</v>
      </c>
      <c r="L317" s="4" t="s">
        <v>8</v>
      </c>
      <c r="M317" s="4" t="s">
        <v>1919</v>
      </c>
      <c r="N317" s="4" t="s">
        <v>60</v>
      </c>
      <c r="O317" s="4" t="s">
        <v>3243</v>
      </c>
      <c r="P317" s="4" t="s">
        <v>1910</v>
      </c>
      <c r="Q317" s="4" t="s">
        <v>3128</v>
      </c>
      <c r="R317" s="4" t="s">
        <v>3244</v>
      </c>
      <c r="S317" s="4" t="s">
        <v>1910</v>
      </c>
      <c r="T317" s="4" t="s">
        <v>3245</v>
      </c>
      <c r="U317" s="4" t="s">
        <v>3226</v>
      </c>
      <c r="V317" s="4" t="s">
        <v>97</v>
      </c>
      <c r="W317" s="4" t="s">
        <v>3236</v>
      </c>
      <c r="X317" s="4" t="s">
        <v>70</v>
      </c>
      <c r="Y317" s="4"/>
    </row>
    <row r="318" spans="1:25" ht="54.7">
      <c r="A318" s="4" t="s">
        <v>3246</v>
      </c>
      <c r="B318" s="4" t="s">
        <v>3178</v>
      </c>
      <c r="C318" s="4" t="s">
        <v>3179</v>
      </c>
      <c r="D318" s="4" t="s">
        <v>3247</v>
      </c>
      <c r="E318" s="4" t="s">
        <v>1203</v>
      </c>
      <c r="F318" s="4" t="s">
        <v>127</v>
      </c>
      <c r="G318" s="4" t="s">
        <v>784</v>
      </c>
      <c r="H318" s="4" t="s">
        <v>3248</v>
      </c>
      <c r="I318" s="4" t="s">
        <v>3249</v>
      </c>
      <c r="J318" s="4" t="s">
        <v>3250</v>
      </c>
      <c r="K318" s="4" t="s">
        <v>3251</v>
      </c>
      <c r="L318" s="4" t="s">
        <v>8</v>
      </c>
      <c r="M318" s="4" t="s">
        <v>59</v>
      </c>
      <c r="N318" s="4" t="s">
        <v>60</v>
      </c>
      <c r="O318" s="4" t="s">
        <v>1424</v>
      </c>
      <c r="P318" s="4" t="s">
        <v>3252</v>
      </c>
      <c r="Q318" s="4" t="s">
        <v>3253</v>
      </c>
      <c r="R318" s="4" t="s">
        <v>3254</v>
      </c>
      <c r="S318" s="4" t="s">
        <v>65</v>
      </c>
      <c r="T318" s="4" t="s">
        <v>3255</v>
      </c>
      <c r="U318" s="4" t="s">
        <v>3256</v>
      </c>
      <c r="V318" s="4" t="s">
        <v>138</v>
      </c>
      <c r="W318" s="4" t="s">
        <v>142</v>
      </c>
      <c r="X318" s="4" t="s">
        <v>70</v>
      </c>
      <c r="Y318" s="4"/>
    </row>
    <row r="319" spans="1:25" ht="41">
      <c r="A319" s="4" t="s">
        <v>3257</v>
      </c>
      <c r="B319" s="4" t="s">
        <v>3178</v>
      </c>
      <c r="C319" s="4" t="s">
        <v>3179</v>
      </c>
      <c r="D319" s="4" t="s">
        <v>3258</v>
      </c>
      <c r="E319" s="4" t="s">
        <v>114</v>
      </c>
      <c r="F319" s="4" t="s">
        <v>115</v>
      </c>
      <c r="G319" s="4" t="s">
        <v>54</v>
      </c>
      <c r="H319" s="4" t="s">
        <v>3259</v>
      </c>
      <c r="I319" s="4" t="s">
        <v>3260</v>
      </c>
      <c r="J319" s="4" t="s">
        <v>3261</v>
      </c>
      <c r="K319" s="4" t="s">
        <v>3262</v>
      </c>
      <c r="L319" s="4" t="s">
        <v>11</v>
      </c>
      <c r="M319" s="4" t="s">
        <v>59</v>
      </c>
      <c r="N319" s="4" t="s">
        <v>60</v>
      </c>
      <c r="O319" s="4" t="s">
        <v>2719</v>
      </c>
      <c r="P319" s="4" t="s">
        <v>3263</v>
      </c>
      <c r="Q319" s="4" t="s">
        <v>3264</v>
      </c>
      <c r="R319" s="4" t="s">
        <v>3265</v>
      </c>
      <c r="S319" s="4" t="s">
        <v>65</v>
      </c>
      <c r="T319" s="4" t="s">
        <v>3266</v>
      </c>
      <c r="U319" s="4" t="s">
        <v>3267</v>
      </c>
      <c r="V319" s="4" t="s">
        <v>97</v>
      </c>
      <c r="W319" s="4" t="s">
        <v>69</v>
      </c>
      <c r="X319" s="4" t="s">
        <v>70</v>
      </c>
      <c r="Y319" s="4"/>
    </row>
    <row r="320" spans="1:25" ht="68.349999999999994">
      <c r="A320" s="4" t="s">
        <v>3268</v>
      </c>
      <c r="B320" s="4" t="s">
        <v>3178</v>
      </c>
      <c r="C320" s="4" t="s">
        <v>3179</v>
      </c>
      <c r="D320" s="4" t="s">
        <v>3269</v>
      </c>
      <c r="E320" s="4" t="s">
        <v>241</v>
      </c>
      <c r="F320" s="4" t="s">
        <v>242</v>
      </c>
      <c r="G320" s="4" t="s">
        <v>178</v>
      </c>
      <c r="H320" s="4" t="s">
        <v>3270</v>
      </c>
      <c r="I320" s="4" t="s">
        <v>3271</v>
      </c>
      <c r="J320" s="4" t="s">
        <v>3272</v>
      </c>
      <c r="K320" s="4" t="s">
        <v>3273</v>
      </c>
      <c r="L320" s="4" t="s">
        <v>11</v>
      </c>
      <c r="M320" s="4" t="s">
        <v>168</v>
      </c>
      <c r="N320" s="4" t="s">
        <v>60</v>
      </c>
      <c r="O320" s="4" t="s">
        <v>3274</v>
      </c>
      <c r="P320" s="4" t="s">
        <v>924</v>
      </c>
      <c r="Q320" s="4" t="s">
        <v>907</v>
      </c>
      <c r="R320" s="4" t="s">
        <v>3275</v>
      </c>
      <c r="S320" s="4" t="s">
        <v>65</v>
      </c>
      <c r="T320" s="4" t="s">
        <v>3276</v>
      </c>
      <c r="U320" s="4" t="s">
        <v>3176</v>
      </c>
      <c r="V320" s="4" t="s">
        <v>97</v>
      </c>
      <c r="W320" s="4" t="s">
        <v>291</v>
      </c>
      <c r="X320" s="4" t="s">
        <v>70</v>
      </c>
      <c r="Y320" s="4"/>
    </row>
    <row r="321" spans="1:25" ht="54.7">
      <c r="A321" s="4" t="s">
        <v>3277</v>
      </c>
      <c r="B321" s="4" t="s">
        <v>3278</v>
      </c>
      <c r="C321" s="4" t="s">
        <v>3279</v>
      </c>
      <c r="D321" s="4" t="s">
        <v>3280</v>
      </c>
      <c r="E321" s="4" t="s">
        <v>353</v>
      </c>
      <c r="F321" s="4" t="s">
        <v>353</v>
      </c>
      <c r="G321" s="4" t="s">
        <v>178</v>
      </c>
      <c r="H321" s="4" t="s">
        <v>3281</v>
      </c>
      <c r="I321" s="4" t="s">
        <v>3282</v>
      </c>
      <c r="J321" s="4" t="s">
        <v>3283</v>
      </c>
      <c r="K321" s="4" t="s">
        <v>3284</v>
      </c>
      <c r="L321" s="4" t="s">
        <v>11</v>
      </c>
      <c r="M321" s="4" t="s">
        <v>59</v>
      </c>
      <c r="N321" s="4" t="s">
        <v>60</v>
      </c>
      <c r="O321" s="4" t="s">
        <v>3285</v>
      </c>
      <c r="P321" s="4" t="s">
        <v>1580</v>
      </c>
      <c r="Q321" s="4" t="s">
        <v>486</v>
      </c>
      <c r="R321" s="4" t="s">
        <v>497</v>
      </c>
      <c r="S321" s="4" t="s">
        <v>65</v>
      </c>
      <c r="T321" s="4" t="s">
        <v>3286</v>
      </c>
      <c r="U321" s="4" t="s">
        <v>555</v>
      </c>
      <c r="V321" s="4" t="s">
        <v>97</v>
      </c>
      <c r="W321" s="4" t="s">
        <v>142</v>
      </c>
      <c r="X321" s="4" t="s">
        <v>70</v>
      </c>
      <c r="Y321" s="4"/>
    </row>
    <row r="322" spans="1:25" ht="54.7">
      <c r="A322" s="4" t="s">
        <v>3287</v>
      </c>
      <c r="B322" s="4" t="s">
        <v>3278</v>
      </c>
      <c r="C322" s="4" t="s">
        <v>3279</v>
      </c>
      <c r="D322" s="4" t="s">
        <v>3288</v>
      </c>
      <c r="E322" s="4" t="s">
        <v>479</v>
      </c>
      <c r="F322" s="4" t="s">
        <v>142</v>
      </c>
      <c r="G322" s="4" t="s">
        <v>178</v>
      </c>
      <c r="H322" s="4" t="s">
        <v>3289</v>
      </c>
      <c r="I322" s="4" t="s">
        <v>3290</v>
      </c>
      <c r="J322" s="4" t="s">
        <v>3291</v>
      </c>
      <c r="K322" s="4" t="s">
        <v>3292</v>
      </c>
      <c r="L322" s="4" t="s">
        <v>11</v>
      </c>
      <c r="M322" s="4" t="s">
        <v>59</v>
      </c>
      <c r="N322" s="4" t="s">
        <v>60</v>
      </c>
      <c r="O322" s="4" t="s">
        <v>3285</v>
      </c>
      <c r="P322" s="4" t="s">
        <v>1580</v>
      </c>
      <c r="Q322" s="4" t="s">
        <v>486</v>
      </c>
      <c r="R322" s="4" t="s">
        <v>3293</v>
      </c>
      <c r="S322" s="4" t="s">
        <v>65</v>
      </c>
      <c r="T322" s="4" t="s">
        <v>3294</v>
      </c>
      <c r="U322" s="4" t="s">
        <v>3280</v>
      </c>
      <c r="V322" s="4" t="s">
        <v>97</v>
      </c>
      <c r="W322" s="4" t="s">
        <v>142</v>
      </c>
      <c r="X322" s="4" t="s">
        <v>70</v>
      </c>
      <c r="Y322" s="4"/>
    </row>
    <row r="323" spans="1:25" ht="54.7">
      <c r="A323" s="4" t="s">
        <v>3295</v>
      </c>
      <c r="B323" s="4" t="s">
        <v>3278</v>
      </c>
      <c r="C323" s="4" t="s">
        <v>3279</v>
      </c>
      <c r="D323" s="4" t="s">
        <v>3296</v>
      </c>
      <c r="E323" s="4" t="s">
        <v>479</v>
      </c>
      <c r="F323" s="4" t="s">
        <v>142</v>
      </c>
      <c r="G323" s="4" t="s">
        <v>178</v>
      </c>
      <c r="H323" s="4" t="s">
        <v>3297</v>
      </c>
      <c r="I323" s="4" t="s">
        <v>3298</v>
      </c>
      <c r="J323" s="4" t="s">
        <v>3299</v>
      </c>
      <c r="K323" s="4" t="s">
        <v>3300</v>
      </c>
      <c r="L323" s="4" t="s">
        <v>8</v>
      </c>
      <c r="M323" s="4" t="s">
        <v>59</v>
      </c>
      <c r="N323" s="4" t="s">
        <v>60</v>
      </c>
      <c r="O323" s="4" t="s">
        <v>561</v>
      </c>
      <c r="P323" s="4" t="s">
        <v>3301</v>
      </c>
      <c r="Q323" s="4" t="s">
        <v>1668</v>
      </c>
      <c r="R323" s="4" t="s">
        <v>3302</v>
      </c>
      <c r="S323" s="4" t="s">
        <v>65</v>
      </c>
      <c r="T323" s="4" t="s">
        <v>3303</v>
      </c>
      <c r="U323" s="4" t="s">
        <v>555</v>
      </c>
      <c r="V323" s="4" t="s">
        <v>97</v>
      </c>
      <c r="W323" s="4" t="s">
        <v>142</v>
      </c>
      <c r="X323" s="4" t="s">
        <v>70</v>
      </c>
      <c r="Y323" s="4"/>
    </row>
    <row r="324" spans="1:25" ht="54.7">
      <c r="A324" s="4" t="s">
        <v>3304</v>
      </c>
      <c r="B324" s="4" t="s">
        <v>3278</v>
      </c>
      <c r="C324" s="4" t="s">
        <v>3279</v>
      </c>
      <c r="D324" s="4" t="s">
        <v>2076</v>
      </c>
      <c r="E324" s="4" t="s">
        <v>479</v>
      </c>
      <c r="F324" s="4" t="s">
        <v>142</v>
      </c>
      <c r="G324" s="4" t="s">
        <v>128</v>
      </c>
      <c r="H324" s="4" t="s">
        <v>3305</v>
      </c>
      <c r="I324" s="4" t="s">
        <v>3306</v>
      </c>
      <c r="J324" s="4" t="s">
        <v>3307</v>
      </c>
      <c r="K324" s="4" t="s">
        <v>3308</v>
      </c>
      <c r="L324" s="4" t="s">
        <v>11</v>
      </c>
      <c r="M324" s="4" t="s">
        <v>59</v>
      </c>
      <c r="N324" s="4" t="s">
        <v>60</v>
      </c>
      <c r="O324" s="4" t="s">
        <v>3309</v>
      </c>
      <c r="P324" s="4" t="s">
        <v>3310</v>
      </c>
      <c r="Q324" s="4" t="s">
        <v>3311</v>
      </c>
      <c r="R324" s="4" t="s">
        <v>3312</v>
      </c>
      <c r="S324" s="4" t="s">
        <v>65</v>
      </c>
      <c r="T324" s="4" t="s">
        <v>3313</v>
      </c>
      <c r="U324" s="4" t="s">
        <v>520</v>
      </c>
      <c r="V324" s="4" t="s">
        <v>97</v>
      </c>
      <c r="W324" s="4" t="s">
        <v>142</v>
      </c>
      <c r="X324" s="4" t="s">
        <v>70</v>
      </c>
      <c r="Y324" s="4"/>
    </row>
    <row r="325" spans="1:25" ht="54.7">
      <c r="A325" s="4" t="s">
        <v>3314</v>
      </c>
      <c r="B325" s="4" t="s">
        <v>3278</v>
      </c>
      <c r="C325" s="4" t="s">
        <v>3279</v>
      </c>
      <c r="D325" s="4" t="s">
        <v>3315</v>
      </c>
      <c r="E325" s="4" t="s">
        <v>177</v>
      </c>
      <c r="F325" s="4" t="s">
        <v>163</v>
      </c>
      <c r="G325" s="4" t="s">
        <v>178</v>
      </c>
      <c r="H325" s="4" t="s">
        <v>3316</v>
      </c>
      <c r="I325" s="4" t="s">
        <v>3317</v>
      </c>
      <c r="J325" s="4" t="s">
        <v>3318</v>
      </c>
      <c r="K325" s="4" t="s">
        <v>3319</v>
      </c>
      <c r="L325" s="4" t="s">
        <v>11</v>
      </c>
      <c r="M325" s="4" t="s">
        <v>59</v>
      </c>
      <c r="N325" s="4" t="s">
        <v>60</v>
      </c>
      <c r="O325" s="4" t="s">
        <v>3320</v>
      </c>
      <c r="P325" s="4" t="s">
        <v>3321</v>
      </c>
      <c r="Q325" s="4" t="s">
        <v>1668</v>
      </c>
      <c r="R325" s="4" t="s">
        <v>3322</v>
      </c>
      <c r="S325" s="4" t="s">
        <v>65</v>
      </c>
      <c r="T325" s="4" t="s">
        <v>3323</v>
      </c>
      <c r="U325" s="4" t="s">
        <v>3324</v>
      </c>
      <c r="V325" s="4" t="s">
        <v>97</v>
      </c>
      <c r="W325" s="4" t="s">
        <v>142</v>
      </c>
      <c r="X325" s="4" t="s">
        <v>70</v>
      </c>
      <c r="Y325" s="4"/>
    </row>
    <row r="326" spans="1:25" ht="54.7">
      <c r="A326" s="4" t="s">
        <v>3325</v>
      </c>
      <c r="B326" s="4" t="s">
        <v>3278</v>
      </c>
      <c r="C326" s="4" t="s">
        <v>3279</v>
      </c>
      <c r="D326" s="4" t="s">
        <v>3326</v>
      </c>
      <c r="E326" s="4" t="s">
        <v>3327</v>
      </c>
      <c r="F326" s="4" t="s">
        <v>142</v>
      </c>
      <c r="G326" s="4" t="s">
        <v>178</v>
      </c>
      <c r="H326" s="4" t="s">
        <v>3328</v>
      </c>
      <c r="I326" s="4" t="s">
        <v>3329</v>
      </c>
      <c r="J326" s="4" t="s">
        <v>3330</v>
      </c>
      <c r="K326" s="4" t="s">
        <v>3331</v>
      </c>
      <c r="L326" s="4" t="s">
        <v>14</v>
      </c>
      <c r="M326" s="4" t="s">
        <v>168</v>
      </c>
      <c r="N326" s="4" t="s">
        <v>169</v>
      </c>
      <c r="O326" s="4" t="s">
        <v>484</v>
      </c>
      <c r="P326" s="4" t="s">
        <v>3332</v>
      </c>
      <c r="Q326" s="4" t="s">
        <v>486</v>
      </c>
      <c r="R326" s="4" t="s">
        <v>3333</v>
      </c>
      <c r="S326" s="4" t="s">
        <v>65</v>
      </c>
      <c r="T326" s="4" t="s">
        <v>3334</v>
      </c>
      <c r="U326" s="4" t="s">
        <v>3335</v>
      </c>
      <c r="V326" s="4" t="s">
        <v>97</v>
      </c>
      <c r="W326" s="4" t="s">
        <v>142</v>
      </c>
      <c r="X326" s="4" t="s">
        <v>70</v>
      </c>
      <c r="Y326" s="4"/>
    </row>
    <row r="327" spans="1:25" ht="54.7">
      <c r="A327" s="4" t="s">
        <v>3336</v>
      </c>
      <c r="B327" s="4" t="s">
        <v>3278</v>
      </c>
      <c r="C327" s="4" t="s">
        <v>3279</v>
      </c>
      <c r="D327" s="4" t="s">
        <v>3337</v>
      </c>
      <c r="E327" s="4" t="s">
        <v>479</v>
      </c>
      <c r="F327" s="4" t="s">
        <v>142</v>
      </c>
      <c r="G327" s="4" t="s">
        <v>178</v>
      </c>
      <c r="H327" s="4" t="s">
        <v>3338</v>
      </c>
      <c r="I327" s="4" t="s">
        <v>3339</v>
      </c>
      <c r="J327" s="4" t="s">
        <v>3340</v>
      </c>
      <c r="K327" s="4" t="s">
        <v>3341</v>
      </c>
      <c r="L327" s="4" t="s">
        <v>11</v>
      </c>
      <c r="M327" s="4" t="s">
        <v>168</v>
      </c>
      <c r="N327" s="4" t="s">
        <v>169</v>
      </c>
      <c r="O327" s="4" t="s">
        <v>3342</v>
      </c>
      <c r="P327" s="4" t="s">
        <v>3343</v>
      </c>
      <c r="Q327" s="4" t="s">
        <v>486</v>
      </c>
      <c r="R327" s="4" t="s">
        <v>1581</v>
      </c>
      <c r="S327" s="4" t="s">
        <v>127</v>
      </c>
      <c r="T327" s="4" t="s">
        <v>3344</v>
      </c>
      <c r="U327" s="4" t="s">
        <v>555</v>
      </c>
      <c r="V327" s="4" t="s">
        <v>97</v>
      </c>
      <c r="W327" s="4" t="s">
        <v>142</v>
      </c>
      <c r="X327" s="4" t="s">
        <v>70</v>
      </c>
      <c r="Y327" s="4"/>
    </row>
    <row r="328" spans="1:25" ht="54.7">
      <c r="A328" s="4" t="s">
        <v>3345</v>
      </c>
      <c r="B328" s="4" t="s">
        <v>3278</v>
      </c>
      <c r="C328" s="4" t="s">
        <v>3279</v>
      </c>
      <c r="D328" s="4" t="s">
        <v>3346</v>
      </c>
      <c r="E328" s="4" t="s">
        <v>2087</v>
      </c>
      <c r="F328" s="4" t="s">
        <v>353</v>
      </c>
      <c r="G328" s="4" t="s">
        <v>784</v>
      </c>
      <c r="H328" s="4" t="s">
        <v>3347</v>
      </c>
      <c r="I328" s="4" t="s">
        <v>3348</v>
      </c>
      <c r="J328" s="4" t="s">
        <v>3349</v>
      </c>
      <c r="K328" s="4" t="s">
        <v>3350</v>
      </c>
      <c r="L328" s="4" t="s">
        <v>8</v>
      </c>
      <c r="M328" s="4" t="s">
        <v>59</v>
      </c>
      <c r="N328" s="4" t="s">
        <v>60</v>
      </c>
      <c r="O328" s="4" t="s">
        <v>3351</v>
      </c>
      <c r="P328" s="4" t="s">
        <v>3352</v>
      </c>
      <c r="Q328" s="4" t="s">
        <v>1800</v>
      </c>
      <c r="R328" s="4" t="s">
        <v>3353</v>
      </c>
      <c r="S328" s="4" t="s">
        <v>65</v>
      </c>
      <c r="T328" s="4" t="s">
        <v>3354</v>
      </c>
      <c r="U328" s="4" t="s">
        <v>555</v>
      </c>
      <c r="V328" s="4" t="s">
        <v>97</v>
      </c>
      <c r="W328" s="4" t="s">
        <v>142</v>
      </c>
      <c r="X328" s="4" t="s">
        <v>70</v>
      </c>
      <c r="Y328" s="4"/>
    </row>
    <row r="329" spans="1:25" ht="68.349999999999994">
      <c r="A329" s="4" t="s">
        <v>3355</v>
      </c>
      <c r="B329" s="4" t="s">
        <v>3278</v>
      </c>
      <c r="C329" s="4" t="s">
        <v>3279</v>
      </c>
      <c r="D329" s="4" t="s">
        <v>3356</v>
      </c>
      <c r="E329" s="4" t="s">
        <v>190</v>
      </c>
      <c r="F329" s="4" t="s">
        <v>191</v>
      </c>
      <c r="G329" s="4" t="s">
        <v>3357</v>
      </c>
      <c r="H329" s="4" t="s">
        <v>3358</v>
      </c>
      <c r="I329" s="4" t="s">
        <v>3359</v>
      </c>
      <c r="J329" s="4" t="s">
        <v>3360</v>
      </c>
      <c r="K329" s="4" t="s">
        <v>3361</v>
      </c>
      <c r="L329" s="4" t="s">
        <v>8</v>
      </c>
      <c r="M329" s="4" t="s">
        <v>59</v>
      </c>
      <c r="N329" s="4" t="s">
        <v>60</v>
      </c>
      <c r="O329" s="4" t="s">
        <v>474</v>
      </c>
      <c r="P329" s="4" t="s">
        <v>3362</v>
      </c>
      <c r="Q329" s="4" t="s">
        <v>80</v>
      </c>
      <c r="R329" s="4" t="s">
        <v>613</v>
      </c>
      <c r="S329" s="4" t="s">
        <v>65</v>
      </c>
      <c r="T329" s="4" t="s">
        <v>3363</v>
      </c>
      <c r="U329" s="4" t="s">
        <v>2023</v>
      </c>
      <c r="V329" s="4" t="s">
        <v>214</v>
      </c>
      <c r="W329" s="4" t="s">
        <v>142</v>
      </c>
      <c r="X329" s="4" t="s">
        <v>70</v>
      </c>
      <c r="Y329" s="4"/>
    </row>
    <row r="330" spans="1:25" ht="54.7">
      <c r="A330" s="4" t="s">
        <v>3364</v>
      </c>
      <c r="B330" s="4" t="s">
        <v>3278</v>
      </c>
      <c r="C330" s="4" t="s">
        <v>3279</v>
      </c>
      <c r="D330" s="4" t="s">
        <v>3365</v>
      </c>
      <c r="E330" s="4" t="s">
        <v>787</v>
      </c>
      <c r="F330" s="4" t="s">
        <v>142</v>
      </c>
      <c r="G330" s="4" t="s">
        <v>178</v>
      </c>
      <c r="H330" s="4" t="s">
        <v>3366</v>
      </c>
      <c r="I330" s="4" t="s">
        <v>3367</v>
      </c>
      <c r="J330" s="4" t="s">
        <v>3368</v>
      </c>
      <c r="K330" s="4" t="s">
        <v>3369</v>
      </c>
      <c r="L330" s="4" t="s">
        <v>8</v>
      </c>
      <c r="M330" s="4" t="s">
        <v>59</v>
      </c>
      <c r="N330" s="4" t="s">
        <v>60</v>
      </c>
      <c r="O330" s="4" t="s">
        <v>3370</v>
      </c>
      <c r="P330" s="4" t="s">
        <v>3371</v>
      </c>
      <c r="Q330" s="4" t="s">
        <v>1800</v>
      </c>
      <c r="R330" s="4" t="s">
        <v>3372</v>
      </c>
      <c r="S330" s="4" t="s">
        <v>65</v>
      </c>
      <c r="T330" s="4" t="s">
        <v>3373</v>
      </c>
      <c r="U330" s="4" t="s">
        <v>795</v>
      </c>
      <c r="V330" s="4" t="s">
        <v>97</v>
      </c>
      <c r="W330" s="4" t="s">
        <v>142</v>
      </c>
      <c r="X330" s="4" t="s">
        <v>70</v>
      </c>
      <c r="Y330" s="4"/>
    </row>
    <row r="331" spans="1:25" ht="54.7">
      <c r="A331" s="4" t="s">
        <v>3374</v>
      </c>
      <c r="B331" s="4" t="s">
        <v>3278</v>
      </c>
      <c r="C331" s="4" t="s">
        <v>3279</v>
      </c>
      <c r="D331" s="4" t="s">
        <v>3375</v>
      </c>
      <c r="E331" s="4" t="s">
        <v>2590</v>
      </c>
      <c r="F331" s="4" t="s">
        <v>2591</v>
      </c>
      <c r="G331" s="4" t="s">
        <v>128</v>
      </c>
      <c r="H331" s="4" t="s">
        <v>3376</v>
      </c>
      <c r="I331" s="4" t="s">
        <v>3377</v>
      </c>
      <c r="J331" s="4" t="s">
        <v>3378</v>
      </c>
      <c r="K331" s="4" t="s">
        <v>3379</v>
      </c>
      <c r="L331" s="4" t="s">
        <v>8</v>
      </c>
      <c r="M331" s="4" t="s">
        <v>2620</v>
      </c>
      <c r="N331" s="4" t="s">
        <v>169</v>
      </c>
      <c r="O331" s="4" t="s">
        <v>3380</v>
      </c>
      <c r="P331" s="4" t="s">
        <v>2730</v>
      </c>
      <c r="Q331" s="4" t="s">
        <v>80</v>
      </c>
      <c r="R331" s="4" t="s">
        <v>3381</v>
      </c>
      <c r="S331" s="4" t="s">
        <v>65</v>
      </c>
      <c r="T331" s="4" t="s">
        <v>3382</v>
      </c>
      <c r="U331" s="4" t="s">
        <v>3324</v>
      </c>
      <c r="V331" s="4" t="s">
        <v>97</v>
      </c>
      <c r="W331" s="4" t="s">
        <v>2601</v>
      </c>
      <c r="X331" s="4" t="s">
        <v>70</v>
      </c>
      <c r="Y331" s="4"/>
    </row>
    <row r="332" spans="1:25" ht="54.7">
      <c r="A332" s="4" t="s">
        <v>3383</v>
      </c>
      <c r="B332" s="4" t="s">
        <v>3278</v>
      </c>
      <c r="C332" s="4" t="s">
        <v>3279</v>
      </c>
      <c r="D332" s="4" t="s">
        <v>3384</v>
      </c>
      <c r="E332" s="4" t="s">
        <v>141</v>
      </c>
      <c r="F332" s="4" t="s">
        <v>142</v>
      </c>
      <c r="G332" s="4" t="s">
        <v>784</v>
      </c>
      <c r="H332" s="4" t="s">
        <v>3385</v>
      </c>
      <c r="I332" s="4" t="s">
        <v>3386</v>
      </c>
      <c r="J332" s="4" t="s">
        <v>3387</v>
      </c>
      <c r="K332" s="4" t="s">
        <v>3388</v>
      </c>
      <c r="L332" s="4" t="s">
        <v>14</v>
      </c>
      <c r="M332" s="4" t="s">
        <v>168</v>
      </c>
      <c r="N332" s="4" t="s">
        <v>169</v>
      </c>
      <c r="O332" s="4" t="s">
        <v>3213</v>
      </c>
      <c r="P332" s="4" t="s">
        <v>2123</v>
      </c>
      <c r="Q332" s="4" t="s">
        <v>1374</v>
      </c>
      <c r="R332" s="4" t="s">
        <v>497</v>
      </c>
      <c r="S332" s="4" t="s">
        <v>65</v>
      </c>
      <c r="T332" s="4" t="s">
        <v>3389</v>
      </c>
      <c r="U332" s="4" t="s">
        <v>3390</v>
      </c>
      <c r="V332" s="4" t="s">
        <v>97</v>
      </c>
      <c r="W332" s="4" t="s">
        <v>784</v>
      </c>
      <c r="X332" s="4" t="s">
        <v>70</v>
      </c>
      <c r="Y332" s="4"/>
    </row>
  </sheetData>
  <conditionalFormatting sqref="L2:L332">
    <cfRule type="expression" dxfId="3" priority="1">
      <formula>L2="Must"</formula>
    </cfRule>
    <cfRule type="expression" dxfId="2" priority="2">
      <formula>L2="Should"</formula>
    </cfRule>
    <cfRule type="expression" dxfId="1" priority="3">
      <formula>L2="Could"</formula>
    </cfRule>
    <cfRule type="expression" dxfId="0" priority="4">
      <formula>L2="Don't"</formula>
    </cfRule>
  </conditionalFormatting>
  <dataValidations count="3">
    <dataValidation type="list" sqref="L2:L332" xr:uid="{00000000-0002-0000-0100-000000000000}">
      <formula1>"Must,Should,Could,Don't"</formula1>
    </dataValidation>
    <dataValidation type="list" sqref="N2:N332" xr:uid="{00000000-0002-0000-0100-000001000000}">
      <formula1>"MVP,Phase 2,Future"</formula1>
    </dataValidation>
    <dataValidation type="list" sqref="X2:X332" xr:uid="{00000000-0002-0000-0100-000002000000}">
      <formula1>"Proposed,Ready,In Design,In Build,In Test,Done,Deferred"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workbookViewId="0"/>
  </sheetViews>
  <sheetFormatPr defaultRowHeight="13.7"/>
  <cols>
    <col min="1" max="1" width="28" customWidth="1"/>
    <col min="2" max="2" width="72" customWidth="1"/>
    <col min="3" max="4" width="14" customWidth="1"/>
  </cols>
  <sheetData>
    <row r="1" spans="1:4">
      <c r="A1" s="1" t="s">
        <v>27</v>
      </c>
      <c r="B1" s="1" t="s">
        <v>3391</v>
      </c>
      <c r="C1" s="1" t="s">
        <v>3392</v>
      </c>
      <c r="D1" s="1" t="s">
        <v>3393</v>
      </c>
    </row>
    <row r="2" spans="1:4">
      <c r="A2" s="2" t="s">
        <v>2590</v>
      </c>
      <c r="B2" s="2" t="s">
        <v>3394</v>
      </c>
      <c r="C2" s="2">
        <v>3</v>
      </c>
      <c r="D2" s="2">
        <v>2</v>
      </c>
    </row>
    <row r="3" spans="1:4">
      <c r="A3" s="2" t="s">
        <v>2604</v>
      </c>
      <c r="B3" s="2" t="s">
        <v>3395</v>
      </c>
      <c r="C3" s="2">
        <v>2</v>
      </c>
      <c r="D3" s="2">
        <v>0</v>
      </c>
    </row>
    <row r="4" spans="1:4">
      <c r="A4" s="2" t="s">
        <v>2417</v>
      </c>
      <c r="B4" s="2" t="s">
        <v>3396</v>
      </c>
      <c r="C4" s="2">
        <v>1</v>
      </c>
      <c r="D4" s="2">
        <v>1</v>
      </c>
    </row>
    <row r="5" spans="1:4">
      <c r="A5" s="2" t="s">
        <v>1263</v>
      </c>
      <c r="B5" s="2" t="s">
        <v>3397</v>
      </c>
      <c r="C5" s="2">
        <v>3</v>
      </c>
      <c r="D5" s="2">
        <v>1</v>
      </c>
    </row>
    <row r="6" spans="1:4">
      <c r="A6" s="2" t="s">
        <v>86</v>
      </c>
      <c r="B6" s="2" t="s">
        <v>3398</v>
      </c>
      <c r="C6" s="2">
        <v>1</v>
      </c>
      <c r="D6" s="2">
        <v>1</v>
      </c>
    </row>
    <row r="7" spans="1:4">
      <c r="A7" s="2" t="s">
        <v>114</v>
      </c>
      <c r="B7" s="2" t="s">
        <v>3399</v>
      </c>
      <c r="C7" s="2">
        <v>10</v>
      </c>
      <c r="D7" s="2">
        <v>5</v>
      </c>
    </row>
    <row r="8" spans="1:4">
      <c r="A8" s="2" t="s">
        <v>787</v>
      </c>
      <c r="B8" s="2" t="s">
        <v>3400</v>
      </c>
      <c r="C8" s="2">
        <v>7</v>
      </c>
      <c r="D8" s="2">
        <v>7</v>
      </c>
    </row>
    <row r="9" spans="1:4">
      <c r="A9" s="2" t="s">
        <v>2986</v>
      </c>
      <c r="B9" s="2" t="s">
        <v>3401</v>
      </c>
      <c r="C9" s="2">
        <v>2</v>
      </c>
      <c r="D9" s="2">
        <v>0</v>
      </c>
    </row>
    <row r="10" spans="1:4" ht="27.35">
      <c r="A10" s="2" t="s">
        <v>101</v>
      </c>
      <c r="B10" s="2" t="s">
        <v>3402</v>
      </c>
      <c r="C10" s="2">
        <v>15</v>
      </c>
      <c r="D10" s="2">
        <v>2</v>
      </c>
    </row>
    <row r="11" spans="1:4" ht="27.35">
      <c r="A11" s="2" t="s">
        <v>141</v>
      </c>
      <c r="B11" s="2" t="s">
        <v>3403</v>
      </c>
      <c r="C11" s="2">
        <v>27</v>
      </c>
      <c r="D11" s="2">
        <v>23</v>
      </c>
    </row>
    <row r="12" spans="1:4">
      <c r="A12" s="2" t="s">
        <v>3327</v>
      </c>
      <c r="B12" s="2" t="s">
        <v>3404</v>
      </c>
      <c r="C12" s="2">
        <v>1</v>
      </c>
      <c r="D12" s="2">
        <v>0</v>
      </c>
    </row>
    <row r="13" spans="1:4">
      <c r="A13" s="2" t="s">
        <v>479</v>
      </c>
      <c r="B13" s="2" t="s">
        <v>3405</v>
      </c>
      <c r="C13" s="2">
        <v>8</v>
      </c>
      <c r="D13" s="2">
        <v>2</v>
      </c>
    </row>
    <row r="14" spans="1:4">
      <c r="A14" s="2" t="s">
        <v>2780</v>
      </c>
      <c r="B14" s="2" t="s">
        <v>3406</v>
      </c>
      <c r="C14" s="2">
        <v>3</v>
      </c>
      <c r="D14" s="2">
        <v>0</v>
      </c>
    </row>
    <row r="15" spans="1:4">
      <c r="A15" s="2" t="s">
        <v>2007</v>
      </c>
      <c r="B15" s="2" t="s">
        <v>3407</v>
      </c>
      <c r="C15" s="2">
        <v>1</v>
      </c>
      <c r="D15" s="2">
        <v>0</v>
      </c>
    </row>
    <row r="16" spans="1:4">
      <c r="A16" s="2" t="s">
        <v>3181</v>
      </c>
      <c r="B16" s="2" t="s">
        <v>3408</v>
      </c>
      <c r="C16" s="2">
        <v>1</v>
      </c>
      <c r="D16" s="2">
        <v>0</v>
      </c>
    </row>
    <row r="17" spans="1:4">
      <c r="A17" s="2" t="s">
        <v>1926</v>
      </c>
      <c r="B17" s="2" t="s">
        <v>3409</v>
      </c>
      <c r="C17" s="2">
        <v>4</v>
      </c>
      <c r="D17" s="2">
        <v>2</v>
      </c>
    </row>
    <row r="18" spans="1:4">
      <c r="A18" s="2" t="s">
        <v>352</v>
      </c>
      <c r="B18" s="2" t="s">
        <v>3410</v>
      </c>
      <c r="C18" s="2">
        <v>2</v>
      </c>
      <c r="D18" s="2">
        <v>0</v>
      </c>
    </row>
    <row r="19" spans="1:4">
      <c r="A19" s="2" t="s">
        <v>339</v>
      </c>
      <c r="B19" s="2" t="s">
        <v>3411</v>
      </c>
      <c r="C19" s="2">
        <v>1</v>
      </c>
      <c r="D19" s="2">
        <v>0</v>
      </c>
    </row>
    <row r="20" spans="1:4">
      <c r="A20" s="2" t="s">
        <v>52</v>
      </c>
      <c r="B20" s="2" t="s">
        <v>3412</v>
      </c>
      <c r="C20" s="2">
        <v>35</v>
      </c>
      <c r="D20" s="2">
        <v>21</v>
      </c>
    </row>
    <row r="21" spans="1:4" ht="27.35">
      <c r="A21" s="2" t="s">
        <v>126</v>
      </c>
      <c r="B21" s="2" t="s">
        <v>3413</v>
      </c>
      <c r="C21" s="2">
        <v>33</v>
      </c>
      <c r="D21" s="2">
        <v>27</v>
      </c>
    </row>
    <row r="22" spans="1:4" ht="27.35">
      <c r="A22" s="2" t="s">
        <v>556</v>
      </c>
      <c r="B22" s="2" t="s">
        <v>3414</v>
      </c>
      <c r="C22" s="2">
        <v>6</v>
      </c>
      <c r="D22" s="2">
        <v>2</v>
      </c>
    </row>
    <row r="23" spans="1:4">
      <c r="A23" s="2" t="s">
        <v>1203</v>
      </c>
      <c r="B23" s="2" t="s">
        <v>3415</v>
      </c>
      <c r="C23" s="2">
        <v>8</v>
      </c>
      <c r="D23" s="2">
        <v>6</v>
      </c>
    </row>
    <row r="24" spans="1:4">
      <c r="A24" s="2" t="s">
        <v>892</v>
      </c>
      <c r="B24" s="2" t="s">
        <v>3416</v>
      </c>
      <c r="C24" s="2">
        <v>6</v>
      </c>
      <c r="D24" s="2">
        <v>5</v>
      </c>
    </row>
    <row r="25" spans="1:4">
      <c r="A25" s="2" t="s">
        <v>1703</v>
      </c>
      <c r="B25" s="2" t="s">
        <v>3417</v>
      </c>
      <c r="C25" s="2">
        <v>2</v>
      </c>
      <c r="D25" s="2">
        <v>0</v>
      </c>
    </row>
    <row r="26" spans="1:4" ht="27.35">
      <c r="A26" s="2" t="s">
        <v>190</v>
      </c>
      <c r="B26" s="2" t="s">
        <v>3418</v>
      </c>
      <c r="C26" s="2">
        <v>47</v>
      </c>
      <c r="D26" s="2">
        <v>27</v>
      </c>
    </row>
    <row r="27" spans="1:4">
      <c r="A27" s="2" t="s">
        <v>254</v>
      </c>
      <c r="B27" s="2" t="s">
        <v>3419</v>
      </c>
      <c r="C27" s="2">
        <v>4</v>
      </c>
      <c r="D27" s="2">
        <v>3</v>
      </c>
    </row>
    <row r="28" spans="1:4">
      <c r="A28" s="2" t="s">
        <v>177</v>
      </c>
      <c r="B28" s="2" t="s">
        <v>3420</v>
      </c>
      <c r="C28" s="2">
        <v>32</v>
      </c>
      <c r="D28" s="2">
        <v>20</v>
      </c>
    </row>
    <row r="29" spans="1:4">
      <c r="A29" s="2" t="s">
        <v>2087</v>
      </c>
      <c r="B29" s="2" t="s">
        <v>3421</v>
      </c>
      <c r="C29" s="2">
        <v>2</v>
      </c>
      <c r="D29" s="2">
        <v>2</v>
      </c>
    </row>
    <row r="30" spans="1:4">
      <c r="A30" s="2" t="s">
        <v>162</v>
      </c>
      <c r="B30" s="2" t="s">
        <v>3422</v>
      </c>
      <c r="C30" s="2">
        <v>1</v>
      </c>
      <c r="D30" s="2">
        <v>0</v>
      </c>
    </row>
    <row r="31" spans="1:4">
      <c r="A31" s="2" t="s">
        <v>353</v>
      </c>
      <c r="B31" s="2" t="s">
        <v>3423</v>
      </c>
      <c r="C31" s="2">
        <v>2</v>
      </c>
      <c r="D31" s="2">
        <v>0</v>
      </c>
    </row>
    <row r="32" spans="1:4">
      <c r="A32" s="2" t="s">
        <v>1852</v>
      </c>
      <c r="B32" s="2" t="s">
        <v>3424</v>
      </c>
      <c r="C32" s="2">
        <v>2</v>
      </c>
      <c r="D32" s="2">
        <v>2</v>
      </c>
    </row>
    <row r="33" spans="1:4">
      <c r="A33" s="2" t="s">
        <v>1334</v>
      </c>
      <c r="B33" s="2" t="s">
        <v>3425</v>
      </c>
      <c r="C33" s="2">
        <v>2</v>
      </c>
      <c r="D33" s="2">
        <v>0</v>
      </c>
    </row>
    <row r="34" spans="1:4">
      <c r="A34" s="2" t="s">
        <v>327</v>
      </c>
      <c r="B34" s="2" t="s">
        <v>3426</v>
      </c>
      <c r="C34" s="2">
        <v>1</v>
      </c>
      <c r="D34" s="2">
        <v>1</v>
      </c>
    </row>
    <row r="35" spans="1:4">
      <c r="A35" s="2" t="s">
        <v>241</v>
      </c>
      <c r="B35" s="2" t="s">
        <v>3427</v>
      </c>
      <c r="C35" s="2">
        <v>7</v>
      </c>
      <c r="D35" s="2">
        <v>4</v>
      </c>
    </row>
    <row r="36" spans="1:4">
      <c r="A36" s="2" t="s">
        <v>2475</v>
      </c>
      <c r="B36" s="2" t="s">
        <v>3428</v>
      </c>
      <c r="C36" s="2">
        <v>2</v>
      </c>
      <c r="D36" s="2">
        <v>2</v>
      </c>
    </row>
    <row r="37" spans="1:4" ht="27.35">
      <c r="A37" s="2" t="s">
        <v>73</v>
      </c>
      <c r="B37" s="2" t="s">
        <v>3429</v>
      </c>
      <c r="C37" s="2">
        <v>42</v>
      </c>
      <c r="D37" s="2">
        <v>21</v>
      </c>
    </row>
    <row r="38" spans="1:4">
      <c r="A38" s="2" t="s">
        <v>863</v>
      </c>
      <c r="B38" s="2" t="s">
        <v>3430</v>
      </c>
      <c r="C38" s="2">
        <v>5</v>
      </c>
      <c r="D38" s="2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/>
  </sheetViews>
  <sheetFormatPr defaultRowHeight="13.7"/>
  <cols>
    <col min="1" max="1" width="10" customWidth="1"/>
    <col min="2" max="2" width="42" customWidth="1"/>
    <col min="3" max="8" width="14" customWidth="1"/>
  </cols>
  <sheetData>
    <row r="1" spans="1:8">
      <c r="A1" s="1" t="s">
        <v>24</v>
      </c>
      <c r="B1" s="1" t="s">
        <v>25</v>
      </c>
      <c r="C1" s="1" t="s">
        <v>3431</v>
      </c>
      <c r="D1" s="1" t="s">
        <v>8</v>
      </c>
      <c r="E1" s="1" t="s">
        <v>11</v>
      </c>
      <c r="F1" s="1" t="s">
        <v>14</v>
      </c>
      <c r="G1" s="1" t="s">
        <v>17</v>
      </c>
      <c r="H1" s="1" t="s">
        <v>3432</v>
      </c>
    </row>
    <row r="2" spans="1:8">
      <c r="A2" t="s">
        <v>49</v>
      </c>
      <c r="B2" t="s">
        <v>50</v>
      </c>
      <c r="C2">
        <v>17</v>
      </c>
      <c r="D2">
        <v>11</v>
      </c>
      <c r="E2">
        <v>4</v>
      </c>
      <c r="F2">
        <v>2</v>
      </c>
      <c r="G2">
        <v>0</v>
      </c>
      <c r="H2" t="s">
        <v>3433</v>
      </c>
    </row>
    <row r="3" spans="1:8">
      <c r="A3" t="s">
        <v>278</v>
      </c>
      <c r="B3" t="s">
        <v>279</v>
      </c>
      <c r="C3">
        <v>13</v>
      </c>
      <c r="D3">
        <v>8</v>
      </c>
      <c r="E3">
        <v>4</v>
      </c>
      <c r="F3">
        <v>1</v>
      </c>
      <c r="G3">
        <v>0</v>
      </c>
      <c r="H3" t="s">
        <v>3433</v>
      </c>
    </row>
    <row r="4" spans="1:8">
      <c r="A4" t="s">
        <v>427</v>
      </c>
      <c r="B4" t="s">
        <v>428</v>
      </c>
      <c r="C4">
        <v>13</v>
      </c>
      <c r="D4">
        <v>8</v>
      </c>
      <c r="E4">
        <v>5</v>
      </c>
      <c r="F4">
        <v>0</v>
      </c>
      <c r="G4">
        <v>0</v>
      </c>
      <c r="H4" t="s">
        <v>60</v>
      </c>
    </row>
    <row r="5" spans="1:8">
      <c r="A5" t="s">
        <v>566</v>
      </c>
      <c r="B5" t="s">
        <v>567</v>
      </c>
      <c r="C5">
        <v>11</v>
      </c>
      <c r="D5">
        <v>9</v>
      </c>
      <c r="E5">
        <v>1</v>
      </c>
      <c r="F5">
        <v>1</v>
      </c>
      <c r="G5">
        <v>0</v>
      </c>
      <c r="H5" t="s">
        <v>3433</v>
      </c>
    </row>
    <row r="6" spans="1:8">
      <c r="A6" t="s">
        <v>678</v>
      </c>
      <c r="B6" t="s">
        <v>679</v>
      </c>
      <c r="C6">
        <v>12</v>
      </c>
      <c r="D6">
        <v>7</v>
      </c>
      <c r="E6">
        <v>5</v>
      </c>
      <c r="F6">
        <v>0</v>
      </c>
      <c r="G6">
        <v>0</v>
      </c>
      <c r="H6" t="s">
        <v>3433</v>
      </c>
    </row>
    <row r="7" spans="1:8">
      <c r="A7" t="s">
        <v>797</v>
      </c>
      <c r="B7" t="s">
        <v>798</v>
      </c>
      <c r="C7">
        <v>12</v>
      </c>
      <c r="D7">
        <v>8</v>
      </c>
      <c r="E7">
        <v>4</v>
      </c>
      <c r="F7">
        <v>0</v>
      </c>
      <c r="G7">
        <v>0</v>
      </c>
      <c r="H7" t="s">
        <v>3433</v>
      </c>
    </row>
    <row r="8" spans="1:8">
      <c r="A8" t="s">
        <v>911</v>
      </c>
      <c r="B8" t="s">
        <v>912</v>
      </c>
      <c r="C8">
        <v>8</v>
      </c>
      <c r="D8">
        <v>3</v>
      </c>
      <c r="E8">
        <v>3</v>
      </c>
      <c r="F8">
        <v>2</v>
      </c>
      <c r="G8">
        <v>0</v>
      </c>
      <c r="H8" t="s">
        <v>3433</v>
      </c>
    </row>
    <row r="9" spans="1:8">
      <c r="A9" t="s">
        <v>989</v>
      </c>
      <c r="B9" t="s">
        <v>990</v>
      </c>
      <c r="C9">
        <v>12</v>
      </c>
      <c r="D9">
        <v>8</v>
      </c>
      <c r="E9">
        <v>3</v>
      </c>
      <c r="F9">
        <v>1</v>
      </c>
      <c r="G9">
        <v>0</v>
      </c>
      <c r="H9" t="s">
        <v>3433</v>
      </c>
    </row>
    <row r="10" spans="1:8">
      <c r="A10" t="s">
        <v>1095</v>
      </c>
      <c r="B10" t="s">
        <v>1096</v>
      </c>
      <c r="C10">
        <v>13</v>
      </c>
      <c r="D10">
        <v>12</v>
      </c>
      <c r="E10">
        <v>1</v>
      </c>
      <c r="F10">
        <v>0</v>
      </c>
      <c r="G10">
        <v>0</v>
      </c>
      <c r="H10" t="s">
        <v>60</v>
      </c>
    </row>
    <row r="11" spans="1:8">
      <c r="A11" t="s">
        <v>1215</v>
      </c>
      <c r="B11" t="s">
        <v>1216</v>
      </c>
      <c r="C11">
        <v>10</v>
      </c>
      <c r="D11">
        <v>3</v>
      </c>
      <c r="E11">
        <v>4</v>
      </c>
      <c r="F11">
        <v>3</v>
      </c>
      <c r="G11">
        <v>0</v>
      </c>
      <c r="H11" t="s">
        <v>3433</v>
      </c>
    </row>
    <row r="12" spans="1:8">
      <c r="A12" t="s">
        <v>1312</v>
      </c>
      <c r="B12" t="s">
        <v>1313</v>
      </c>
      <c r="C12">
        <v>12</v>
      </c>
      <c r="D12">
        <v>4</v>
      </c>
      <c r="E12">
        <v>6</v>
      </c>
      <c r="F12">
        <v>2</v>
      </c>
      <c r="G12">
        <v>0</v>
      </c>
      <c r="H12" t="s">
        <v>3433</v>
      </c>
    </row>
    <row r="13" spans="1:8">
      <c r="A13" t="s">
        <v>1426</v>
      </c>
      <c r="B13" t="s">
        <v>1427</v>
      </c>
      <c r="C13">
        <v>14</v>
      </c>
      <c r="D13">
        <v>8</v>
      </c>
      <c r="E13">
        <v>5</v>
      </c>
      <c r="F13">
        <v>1</v>
      </c>
      <c r="G13">
        <v>0</v>
      </c>
      <c r="H13" t="s">
        <v>3433</v>
      </c>
    </row>
    <row r="14" spans="1:8">
      <c r="A14" t="s">
        <v>1561</v>
      </c>
      <c r="B14" t="s">
        <v>1562</v>
      </c>
      <c r="C14">
        <v>19</v>
      </c>
      <c r="D14">
        <v>14</v>
      </c>
      <c r="E14">
        <v>3</v>
      </c>
      <c r="F14">
        <v>1</v>
      </c>
      <c r="G14">
        <v>1</v>
      </c>
      <c r="H14" t="s">
        <v>3434</v>
      </c>
    </row>
    <row r="15" spans="1:8">
      <c r="A15" t="s">
        <v>1761</v>
      </c>
      <c r="B15" t="s">
        <v>1762</v>
      </c>
      <c r="C15">
        <v>19</v>
      </c>
      <c r="D15">
        <v>19</v>
      </c>
      <c r="E15">
        <v>0</v>
      </c>
      <c r="F15">
        <v>0</v>
      </c>
      <c r="G15">
        <v>0</v>
      </c>
      <c r="H15" t="s">
        <v>60</v>
      </c>
    </row>
    <row r="16" spans="1:8">
      <c r="A16" t="s">
        <v>1961</v>
      </c>
      <c r="B16" t="s">
        <v>1962</v>
      </c>
      <c r="C16">
        <v>18</v>
      </c>
      <c r="D16">
        <v>10</v>
      </c>
      <c r="E16">
        <v>5</v>
      </c>
      <c r="F16">
        <v>2</v>
      </c>
      <c r="G16">
        <v>1</v>
      </c>
      <c r="H16" t="s">
        <v>3434</v>
      </c>
    </row>
    <row r="17" spans="1:8">
      <c r="A17" t="s">
        <v>2125</v>
      </c>
      <c r="B17" t="s">
        <v>2126</v>
      </c>
      <c r="C17">
        <v>13</v>
      </c>
      <c r="D17">
        <v>8</v>
      </c>
      <c r="E17">
        <v>3</v>
      </c>
      <c r="F17">
        <v>2</v>
      </c>
      <c r="G17">
        <v>0</v>
      </c>
      <c r="H17" t="s">
        <v>3433</v>
      </c>
    </row>
    <row r="18" spans="1:8">
      <c r="A18" t="s">
        <v>2236</v>
      </c>
      <c r="B18" t="s">
        <v>2237</v>
      </c>
      <c r="C18">
        <v>14</v>
      </c>
      <c r="D18">
        <v>7</v>
      </c>
      <c r="E18">
        <v>3</v>
      </c>
      <c r="F18">
        <v>4</v>
      </c>
      <c r="G18">
        <v>0</v>
      </c>
      <c r="H18" t="s">
        <v>3433</v>
      </c>
    </row>
    <row r="19" spans="1:8">
      <c r="A19" t="s">
        <v>2378</v>
      </c>
      <c r="B19" t="s">
        <v>2379</v>
      </c>
      <c r="C19">
        <v>10</v>
      </c>
      <c r="D19">
        <v>9</v>
      </c>
      <c r="E19">
        <v>1</v>
      </c>
      <c r="F19">
        <v>0</v>
      </c>
      <c r="G19">
        <v>0</v>
      </c>
      <c r="H19" t="s">
        <v>60</v>
      </c>
    </row>
    <row r="20" spans="1:8">
      <c r="A20" t="s">
        <v>2472</v>
      </c>
      <c r="B20" t="s">
        <v>2473</v>
      </c>
      <c r="C20">
        <v>12</v>
      </c>
      <c r="D20">
        <v>6</v>
      </c>
      <c r="E20">
        <v>3</v>
      </c>
      <c r="F20">
        <v>3</v>
      </c>
      <c r="G20">
        <v>0</v>
      </c>
      <c r="H20" t="s">
        <v>3433</v>
      </c>
    </row>
    <row r="21" spans="1:8">
      <c r="A21" t="s">
        <v>2587</v>
      </c>
      <c r="B21" t="s">
        <v>2588</v>
      </c>
      <c r="C21">
        <v>17</v>
      </c>
      <c r="D21">
        <v>8</v>
      </c>
      <c r="E21">
        <v>2</v>
      </c>
      <c r="F21">
        <v>7</v>
      </c>
      <c r="G21">
        <v>0</v>
      </c>
      <c r="H21" t="s">
        <v>169</v>
      </c>
    </row>
    <row r="22" spans="1:8">
      <c r="A22" t="s">
        <v>2773</v>
      </c>
      <c r="B22" t="s">
        <v>2774</v>
      </c>
      <c r="C22">
        <v>8</v>
      </c>
      <c r="D22">
        <v>2</v>
      </c>
      <c r="E22">
        <v>0</v>
      </c>
      <c r="F22">
        <v>5</v>
      </c>
      <c r="G22">
        <v>1</v>
      </c>
      <c r="H22" t="s">
        <v>3435</v>
      </c>
    </row>
    <row r="23" spans="1:8">
      <c r="A23" t="s">
        <v>2855</v>
      </c>
      <c r="B23" t="s">
        <v>2856</v>
      </c>
      <c r="C23">
        <v>8</v>
      </c>
      <c r="D23">
        <v>0</v>
      </c>
      <c r="E23">
        <v>0</v>
      </c>
      <c r="F23">
        <v>2</v>
      </c>
      <c r="G23">
        <v>6</v>
      </c>
      <c r="H23" t="s">
        <v>1710</v>
      </c>
    </row>
    <row r="24" spans="1:8">
      <c r="A24" t="s">
        <v>2931</v>
      </c>
      <c r="B24" t="s">
        <v>2932</v>
      </c>
      <c r="C24">
        <v>10</v>
      </c>
      <c r="D24">
        <v>0</v>
      </c>
      <c r="E24">
        <v>0</v>
      </c>
      <c r="F24">
        <v>0</v>
      </c>
      <c r="G24">
        <v>10</v>
      </c>
      <c r="H24" t="s">
        <v>1710</v>
      </c>
    </row>
    <row r="25" spans="1:8">
      <c r="A25" t="s">
        <v>3038</v>
      </c>
      <c r="B25" t="s">
        <v>3039</v>
      </c>
      <c r="C25">
        <v>14</v>
      </c>
      <c r="D25">
        <v>10</v>
      </c>
      <c r="E25">
        <v>4</v>
      </c>
      <c r="F25">
        <v>0</v>
      </c>
      <c r="G25">
        <v>0</v>
      </c>
      <c r="H25" t="s">
        <v>3433</v>
      </c>
    </row>
    <row r="26" spans="1:8">
      <c r="A26" t="s">
        <v>3178</v>
      </c>
      <c r="B26" t="s">
        <v>3179</v>
      </c>
      <c r="C26">
        <v>10</v>
      </c>
      <c r="D26">
        <v>6</v>
      </c>
      <c r="E26">
        <v>3</v>
      </c>
      <c r="F26">
        <v>1</v>
      </c>
      <c r="G26">
        <v>0</v>
      </c>
      <c r="H26" t="s">
        <v>3433</v>
      </c>
    </row>
    <row r="27" spans="1:8">
      <c r="A27" t="s">
        <v>3278</v>
      </c>
      <c r="B27" t="s">
        <v>3279</v>
      </c>
      <c r="C27">
        <v>12</v>
      </c>
      <c r="D27">
        <v>5</v>
      </c>
      <c r="E27">
        <v>5</v>
      </c>
      <c r="F27">
        <v>2</v>
      </c>
      <c r="G27">
        <v>0</v>
      </c>
      <c r="H27" t="s">
        <v>3433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3.7"/>
  <cols>
    <col min="1" max="1" width="14" customWidth="1"/>
    <col min="2" max="4" width="46" customWidth="1"/>
  </cols>
  <sheetData>
    <row r="1" spans="1:4">
      <c r="A1" s="1" t="s">
        <v>4</v>
      </c>
      <c r="B1" s="1" t="s">
        <v>3436</v>
      </c>
      <c r="C1" s="1" t="s">
        <v>3437</v>
      </c>
      <c r="D1" s="1" t="s">
        <v>3438</v>
      </c>
    </row>
    <row r="2" spans="1:4" ht="27.35">
      <c r="A2" s="5" t="s">
        <v>8</v>
      </c>
      <c r="B2" s="2" t="s">
        <v>3439</v>
      </c>
      <c r="C2" s="2" t="s">
        <v>3440</v>
      </c>
      <c r="D2" s="2" t="s">
        <v>3441</v>
      </c>
    </row>
    <row r="3" spans="1:4" ht="27.35">
      <c r="A3" s="6" t="s">
        <v>11</v>
      </c>
      <c r="B3" s="2" t="s">
        <v>3442</v>
      </c>
      <c r="C3" s="2" t="s">
        <v>3443</v>
      </c>
      <c r="D3" s="2" t="s">
        <v>3444</v>
      </c>
    </row>
    <row r="4" spans="1:4" ht="27.35">
      <c r="A4" s="7" t="s">
        <v>14</v>
      </c>
      <c r="B4" s="2" t="s">
        <v>3445</v>
      </c>
      <c r="C4" s="2" t="s">
        <v>3446</v>
      </c>
      <c r="D4" s="2" t="s">
        <v>3447</v>
      </c>
    </row>
    <row r="5" spans="1:4" ht="27.35">
      <c r="A5" s="8" t="s">
        <v>17</v>
      </c>
      <c r="B5" s="2" t="s">
        <v>3448</v>
      </c>
      <c r="C5" s="2" t="s">
        <v>3449</v>
      </c>
      <c r="D5" s="2" t="s">
        <v>3450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3.7"/>
  <cols>
    <col min="1" max="1" width="45" customWidth="1"/>
    <col min="2" max="2" width="72" customWidth="1"/>
    <col min="3" max="3" width="22" customWidth="1"/>
    <col min="4" max="4" width="50" customWidth="1"/>
  </cols>
  <sheetData>
    <row r="1" spans="1:4">
      <c r="A1" s="1" t="s">
        <v>3451</v>
      </c>
      <c r="B1" s="1" t="s">
        <v>3452</v>
      </c>
      <c r="C1" s="1" t="s">
        <v>46</v>
      </c>
      <c r="D1" s="1" t="s">
        <v>47</v>
      </c>
    </row>
    <row r="2" spans="1:4" ht="27.35">
      <c r="A2" s="2" t="s">
        <v>3453</v>
      </c>
      <c r="B2" s="2" t="s">
        <v>3454</v>
      </c>
      <c r="C2" s="2" t="s">
        <v>3455</v>
      </c>
      <c r="D2" s="2" t="s">
        <v>3456</v>
      </c>
    </row>
    <row r="3" spans="1:4">
      <c r="A3" s="2" t="s">
        <v>3457</v>
      </c>
      <c r="B3" s="2" t="s">
        <v>3458</v>
      </c>
      <c r="C3" s="2" t="s">
        <v>3455</v>
      </c>
      <c r="D3" s="2" t="s">
        <v>3459</v>
      </c>
    </row>
    <row r="4" spans="1:4" ht="27.35">
      <c r="A4" s="2" t="s">
        <v>3460</v>
      </c>
      <c r="B4" s="2" t="s">
        <v>3461</v>
      </c>
      <c r="C4" s="2" t="s">
        <v>3462</v>
      </c>
      <c r="D4" s="2" t="s">
        <v>3463</v>
      </c>
    </row>
    <row r="5" spans="1:4" ht="27.35">
      <c r="A5" s="2" t="s">
        <v>3464</v>
      </c>
      <c r="B5" s="2" t="s">
        <v>3465</v>
      </c>
      <c r="C5" s="2" t="s">
        <v>2460</v>
      </c>
      <c r="D5" s="2" t="s">
        <v>3466</v>
      </c>
    </row>
    <row r="6" spans="1:4" ht="27.35">
      <c r="A6" s="2" t="s">
        <v>3467</v>
      </c>
      <c r="B6" s="2" t="s">
        <v>3468</v>
      </c>
      <c r="C6" s="2" t="s">
        <v>3469</v>
      </c>
      <c r="D6" s="2" t="s">
        <v>3470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/>
  </sheetViews>
  <sheetFormatPr defaultRowHeight="13.7"/>
  <cols>
    <col min="1" max="5" width="22" customWidth="1"/>
  </cols>
  <sheetData>
    <row r="1" spans="1:5">
      <c r="A1" s="1" t="s">
        <v>34</v>
      </c>
      <c r="B1" s="1" t="s">
        <v>36</v>
      </c>
      <c r="C1" s="1" t="s">
        <v>35</v>
      </c>
      <c r="D1" s="1" t="s">
        <v>46</v>
      </c>
      <c r="E1" s="1" t="s">
        <v>45</v>
      </c>
    </row>
    <row r="2" spans="1:5">
      <c r="A2" t="s">
        <v>8</v>
      </c>
      <c r="B2" t="s">
        <v>60</v>
      </c>
      <c r="C2" t="s">
        <v>59</v>
      </c>
      <c r="D2" t="s">
        <v>70</v>
      </c>
      <c r="E2" t="s">
        <v>2601</v>
      </c>
    </row>
    <row r="3" spans="1:5">
      <c r="A3" t="s">
        <v>11</v>
      </c>
      <c r="B3" t="s">
        <v>169</v>
      </c>
      <c r="C3" t="s">
        <v>1919</v>
      </c>
      <c r="D3" t="s">
        <v>3471</v>
      </c>
      <c r="E3" t="s">
        <v>987</v>
      </c>
    </row>
    <row r="4" spans="1:5">
      <c r="A4" t="s">
        <v>14</v>
      </c>
      <c r="B4" t="s">
        <v>1710</v>
      </c>
      <c r="C4" t="s">
        <v>168</v>
      </c>
      <c r="D4" t="s">
        <v>3472</v>
      </c>
      <c r="E4" t="s">
        <v>69</v>
      </c>
    </row>
    <row r="5" spans="1:5">
      <c r="A5" t="s">
        <v>17</v>
      </c>
      <c r="C5" t="s">
        <v>1526</v>
      </c>
      <c r="D5" t="s">
        <v>3473</v>
      </c>
      <c r="E5" t="s">
        <v>142</v>
      </c>
    </row>
    <row r="6" spans="1:5">
      <c r="C6" t="s">
        <v>2620</v>
      </c>
      <c r="D6" t="s">
        <v>3474</v>
      </c>
      <c r="E6" t="s">
        <v>174</v>
      </c>
    </row>
    <row r="7" spans="1:5">
      <c r="C7" t="s">
        <v>1724</v>
      </c>
      <c r="D7" t="s">
        <v>3475</v>
      </c>
      <c r="E7" t="s">
        <v>2355</v>
      </c>
    </row>
    <row r="8" spans="1:5">
      <c r="C8" t="s">
        <v>2822</v>
      </c>
      <c r="D8" t="s">
        <v>3476</v>
      </c>
      <c r="E8" t="s">
        <v>784</v>
      </c>
    </row>
    <row r="9" spans="1:5">
      <c r="C9" t="s">
        <v>1710</v>
      </c>
      <c r="E9" t="s">
        <v>98</v>
      </c>
    </row>
    <row r="10" spans="1:5">
      <c r="E10" t="s">
        <v>291</v>
      </c>
    </row>
    <row r="11" spans="1:5">
      <c r="E11" t="s">
        <v>3236</v>
      </c>
    </row>
    <row r="12" spans="1:5">
      <c r="E12" t="s">
        <v>349</v>
      </c>
    </row>
    <row r="13" spans="1:5">
      <c r="E13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User Stories</vt:lpstr>
      <vt:lpstr>Actors</vt:lpstr>
      <vt:lpstr>Epics</vt:lpstr>
      <vt:lpstr>MoSCoW</vt:lpstr>
      <vt:lpstr>Traceability</vt:lpstr>
      <vt:lpstr>Reference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Shuaib Rabbani</cp:lastModifiedBy>
  <dcterms:modified xsi:type="dcterms:W3CDTF">2026-09-16T10:37:32Z</dcterms:modified>
</cp:coreProperties>
</file>